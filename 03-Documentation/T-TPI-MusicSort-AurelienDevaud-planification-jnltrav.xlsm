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75EAF1B5-E650-4009-8F95-FFE4C169AC3D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B24" i="12"/>
  <c r="C23" i="12"/>
  <c r="C22" i="12"/>
  <c r="B12" i="10"/>
  <c r="C11" i="10"/>
  <c r="C10" i="10"/>
  <c r="C9" i="10"/>
  <c r="C8" i="10"/>
  <c r="C7" i="10"/>
  <c r="C6" i="10"/>
  <c r="C5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B108" i="10"/>
  <c r="C107" i="10"/>
  <c r="C106" i="10"/>
  <c r="C105" i="10"/>
  <c r="C104" i="10"/>
  <c r="C103" i="10"/>
  <c r="C102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C174" i="10"/>
  <c r="B192" i="10"/>
  <c r="C191" i="10"/>
  <c r="C190" i="10"/>
  <c r="C189" i="10"/>
  <c r="C188" i="10"/>
  <c r="C187" i="10"/>
  <c r="B204" i="10"/>
  <c r="C203" i="10"/>
  <c r="C202" i="10"/>
  <c r="C201" i="10"/>
  <c r="C200" i="10"/>
  <c r="C199" i="10"/>
  <c r="B216" i="10"/>
  <c r="C215" i="10"/>
  <c r="C212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C234" i="10"/>
  <c r="B252" i="10"/>
  <c r="C251" i="10"/>
  <c r="C250" i="10"/>
  <c r="C249" i="10"/>
  <c r="C248" i="10"/>
  <c r="C247" i="10"/>
  <c r="C246" i="10"/>
  <c r="B264" i="10"/>
  <c r="C263" i="10"/>
  <c r="C262" i="10"/>
  <c r="C261" i="10"/>
  <c r="C260" i="10"/>
  <c r="C259" i="10"/>
  <c r="B276" i="10"/>
  <c r="C275" i="10"/>
  <c r="C274" i="10"/>
  <c r="C273" i="10"/>
  <c r="C272" i="10"/>
  <c r="C271" i="10"/>
  <c r="C270" i="10"/>
  <c r="B288" i="10"/>
  <c r="C287" i="10"/>
  <c r="C286" i="10"/>
  <c r="C283" i="10"/>
  <c r="C282" i="10"/>
  <c r="B300" i="10"/>
  <c r="C299" i="10"/>
  <c r="B312" i="10"/>
  <c r="C311" i="10"/>
  <c r="C310" i="10"/>
  <c r="C309" i="10"/>
  <c r="C308" i="10"/>
  <c r="C307" i="10"/>
  <c r="C306" i="10"/>
  <c r="C305" i="10"/>
  <c r="B324" i="10"/>
  <c r="B36" i="12"/>
  <c r="C35" i="12"/>
  <c r="B48" i="12"/>
  <c r="C214" i="10"/>
  <c r="C213" i="10"/>
  <c r="C258" i="10"/>
  <c r="C284" i="10"/>
  <c r="C285" i="10"/>
  <c r="C68" i="10"/>
  <c r="C125" i="10"/>
  <c r="C197" i="10"/>
  <c r="C295" i="10"/>
  <c r="C48" i="10"/>
  <c r="C240" i="10"/>
  <c r="C52" i="10"/>
  <c r="C36" i="10"/>
  <c r="C67" i="10"/>
  <c r="C124" i="10"/>
  <c r="C211" i="10"/>
  <c r="C172" i="10"/>
  <c r="C294" i="10"/>
  <c r="C60" i="10"/>
  <c r="C252" i="10"/>
  <c r="C120" i="10"/>
  <c r="C90" i="10"/>
  <c r="C232" i="10"/>
  <c r="C269" i="10"/>
  <c r="C173" i="10"/>
  <c r="C228" i="10"/>
  <c r="C66" i="10"/>
  <c r="C137" i="10"/>
  <c r="C184" i="10"/>
  <c r="C293" i="10"/>
  <c r="C72" i="10"/>
  <c r="C264" i="10"/>
  <c r="C108" i="10"/>
  <c r="C161" i="10"/>
  <c r="C323" i="10"/>
  <c r="C296" i="10"/>
  <c r="C65" i="10"/>
  <c r="C136" i="10"/>
  <c r="C233" i="10"/>
  <c r="C292" i="10"/>
  <c r="C84" i="10"/>
  <c r="C276" i="10"/>
  <c r="C96" i="10"/>
  <c r="C300" i="10"/>
  <c r="C312" i="10"/>
  <c r="C150" i="10"/>
  <c r="C41" i="10"/>
  <c r="C192" i="10"/>
  <c r="C64" i="10"/>
  <c r="C28" i="10"/>
  <c r="C210" i="10"/>
  <c r="C245" i="10"/>
  <c r="C304" i="10"/>
  <c r="C288" i="10"/>
  <c r="C322" i="10"/>
  <c r="C88" i="10"/>
  <c r="C256" i="10"/>
  <c r="C204" i="10"/>
  <c r="C78" i="10"/>
  <c r="C17" i="10"/>
  <c r="C209" i="10"/>
  <c r="C196" i="10"/>
  <c r="C318" i="10"/>
  <c r="C160" i="10"/>
  <c r="C77" i="10"/>
  <c r="C16" i="10"/>
  <c r="C208" i="10"/>
  <c r="C317" i="10"/>
  <c r="C198" i="10"/>
  <c r="C144" i="10"/>
  <c r="C12" i="10"/>
  <c r="C76" i="10"/>
  <c r="C4" i="10"/>
  <c r="C222" i="10"/>
  <c r="C220" i="10"/>
  <c r="C316" i="10"/>
  <c r="C132" i="10"/>
  <c r="C324" i="10"/>
  <c r="C221" i="10"/>
  <c r="C29" i="10"/>
  <c r="C89" i="10"/>
  <c r="C149" i="10"/>
  <c r="C298" i="10"/>
  <c r="C244" i="10"/>
  <c r="C321" i="10"/>
  <c r="C156" i="10"/>
  <c r="C268" i="10"/>
  <c r="C42" i="10"/>
  <c r="C101" i="10"/>
  <c r="C148" i="10"/>
  <c r="C297" i="10"/>
  <c r="C257" i="10"/>
  <c r="C319" i="10"/>
  <c r="C168" i="10"/>
  <c r="C54" i="10"/>
  <c r="C180" i="10"/>
  <c r="C100" i="10"/>
  <c r="C40" i="10"/>
  <c r="C112" i="10"/>
  <c r="C280" i="10"/>
  <c r="C320" i="10"/>
  <c r="C113" i="10"/>
  <c r="C186" i="10"/>
  <c r="C53" i="10"/>
  <c r="C114" i="10"/>
  <c r="C185" i="10"/>
  <c r="C281" i="10"/>
  <c r="C24" i="10"/>
  <c r="C216" i="10"/>
  <c r="C21" i="12"/>
  <c r="C19" i="12"/>
  <c r="C18" i="12"/>
  <c r="C17" i="12"/>
  <c r="C16" i="12"/>
  <c r="C46" i="12"/>
  <c r="C29" i="12"/>
  <c r="C48" i="12"/>
  <c r="C47" i="12"/>
  <c r="C36" i="12"/>
  <c r="C34" i="12"/>
  <c r="C43" i="12"/>
  <c r="C33" i="12"/>
  <c r="C42" i="12"/>
  <c r="C28" i="12"/>
  <c r="C40" i="12"/>
  <c r="C32" i="12"/>
  <c r="C44" i="12"/>
  <c r="C30" i="12"/>
  <c r="C41" i="12"/>
  <c r="C45" i="12"/>
  <c r="C31" i="12"/>
  <c r="C10" i="12"/>
  <c r="C9" i="12"/>
  <c r="C8" i="12"/>
  <c r="C7" i="12"/>
  <c r="C24" i="12"/>
  <c r="C20" i="12"/>
  <c r="C6" i="12"/>
  <c r="C5" i="12"/>
  <c r="C12" i="12"/>
  <c r="C4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<sst xmlns="http://schemas.openxmlformats.org/spreadsheetml/2006/main" count="847" uniqueCount="157">
  <si>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</si>
  <si>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</si>
  <si>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</si>
  <si>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</si>
  <si>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</si>
  <si>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</si>
  <si>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</si>
  <si>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</si>
  <si>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</si>
  <si>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</si>
  <si>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</si>
  <si>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</si>
  <si>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</si>
  <si>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</si>
  <si>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</si>
  <si>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</si>
  <si>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</si>
  <si>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</si>
  <si>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</si>
  <si>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</si>
  <si>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</si>
  <si>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</si>
  <si>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</si>
  <si>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</si>
  <si>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</si>
  <si>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</si>
  <si>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</si>
  <si>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</si>
  <si>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</si>
  <si>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</si>
  <si>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</si>
  <si>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</si>
  <si>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</si>
  <si>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</si>
  <si>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</si>
  <si>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</si>
  <si>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</si>
  <si>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</si>
  <si>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</si>
  <si>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</si>
  <si>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Meeting - Chef de Projet</t>
  </si>
  <si>
    <t>Meeting - Expert 1</t>
  </si>
  <si>
    <t>Meeting - Expert 2</t>
  </si>
  <si>
    <t>Informer - CDC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</si>
  <si>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</si>
  <si>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</si>
  <si>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</si>
  <si>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</si>
  <si>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</si>
  <si>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MID4</t>
  </si>
  <si>
    <t>Aurélien Dévaud</t>
  </si>
  <si>
    <t>TPI, MusicSort</t>
  </si>
  <si>
    <t>ETML, Vennes</t>
  </si>
  <si>
    <t>Du 29.04.2024 au 29.04.2024</t>
  </si>
  <si>
    <t>Discussion avec le chef de projet sur le cahier des charges et questionnement sur les détails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</si>
  <si>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</si>
  <si>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</si>
  <si>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</si>
  <si>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</si>
  <si>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</si>
  <si>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</si>
  <si>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</si>
  <si>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</si>
  <si>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</si>
  <si>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</si>
  <si>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</si>
  <si>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Interface</t>
  </si>
  <si>
    <t>Réaliser - Environnement</t>
  </si>
  <si>
    <t>Réaliser - Structure</t>
  </si>
  <si>
    <t>Réaliser - Remplissage des classes</t>
  </si>
  <si>
    <t>Réaliser - Débogage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</si>
  <si>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</si>
  <si>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</si>
  <si>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</si>
  <si>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</si>
  <si>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</si>
  <si>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Séquence 27</t>
  </si>
  <si>
    <t>mercredi, 29 mai 2024</t>
  </si>
  <si>
    <t>Séquence 26</t>
  </si>
  <si>
    <t>Séquence 25</t>
  </si>
  <si>
    <t>lundi, 27 mai 2024</t>
  </si>
  <si>
    <t>Séquence 24</t>
  </si>
  <si>
    <t>Séquence 23</t>
  </si>
  <si>
    <t>vendredi, 24 mai 2024</t>
  </si>
  <si>
    <t>Séquence 22</t>
  </si>
  <si>
    <t>Séquence 21</t>
  </si>
  <si>
    <t>jeudi, 23 mai 2024</t>
  </si>
  <si>
    <t>Séquence 20</t>
  </si>
  <si>
    <t>mercredi, 22 mai 2024</t>
  </si>
  <si>
    <t>Séquence 19</t>
  </si>
  <si>
    <t>Séquence 18</t>
  </si>
  <si>
    <t>vendredi, 17 mai 2024</t>
  </si>
  <si>
    <t>Séquence 17</t>
  </si>
  <si>
    <t>Séquence 16</t>
  </si>
  <si>
    <t>jeudi, 16 mai 2024</t>
  </si>
  <si>
    <t>Séquence 15</t>
  </si>
  <si>
    <t>mercredi, 15 mai 2024</t>
  </si>
  <si>
    <t>Séquence 14</t>
  </si>
  <si>
    <t>Séquence 13</t>
  </si>
  <si>
    <t>lundi, 13 mai 2024</t>
  </si>
  <si>
    <t>Séquence 12</t>
  </si>
  <si>
    <t>Séquence 11</t>
  </si>
  <si>
    <t>mercredi, 8 mai 2024</t>
  </si>
  <si>
    <t>Séquence 10</t>
  </si>
  <si>
    <t>Séquence 9</t>
  </si>
  <si>
    <t>lundi, 6 mai 2024</t>
  </si>
  <si>
    <t>Séquence 8</t>
  </si>
  <si>
    <t>Séquence 7</t>
  </si>
  <si>
    <t>vendredi, 3 mai 2024</t>
  </si>
  <si>
    <t>Séquence 6</t>
  </si>
  <si>
    <t>Séquence 5</t>
  </si>
  <si>
    <t>jeudi, 2 mai 2024</t>
  </si>
  <si>
    <t>Séquence 4</t>
  </si>
  <si>
    <t>mercredi, 1 mai 2024</t>
  </si>
  <si>
    <t>lundi, 29 avril 2024</t>
  </si>
  <si>
    <t>Lecture individuelle du CDC et signature</t>
  </si>
  <si>
    <t>Mise en place de la structure selon le schéma UML</t>
  </si>
  <si>
    <t>Autre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</si>
  <si>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</si>
  <si>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</si>
  <si>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</si>
  <si>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Explication du diagrame use case</t>
  </si>
  <si>
    <t>Explication de la stratégie de test</t>
  </si>
  <si>
    <t>Explication de la maquette</t>
  </si>
  <si>
    <t>Explication du diagrame de classe</t>
  </si>
  <si>
    <t>Explication du diagramme d'activité et si possible aprofondissement des sujets précédents</t>
  </si>
  <si>
    <t>Explication des choses réalisées</t>
  </si>
  <si>
    <t>Impression et envoi des documents</t>
  </si>
  <si>
    <t>dernières retouches</t>
  </si>
  <si>
    <t>Réaliser - Création de l'installer</t>
  </si>
  <si>
    <t>Finitions sur la documentation</t>
  </si>
  <si>
    <t>Explications du diagrame de classe</t>
  </si>
  <si>
    <t>Explication des bugs si intéressant</t>
  </si>
  <si>
    <t>Vérification sur plusieurs types d'ordinateurs si il fonctionne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</si>
  <si>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</si>
  <si>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</si>
  <si>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</si>
  <si>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</si>
  <si>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</si>
  <si>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</si>
  <si>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87h45min</t>
  </si>
  <si>
    <t>Explication d'interface</t>
  </si>
  <si>
    <t>Création de la structure selon le schéma de classe UML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</si>
  <si>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</si>
  <si>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</si>
  <si>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</si>
  <si>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</si>
  <si>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</si>
  <si>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</si>
  <si>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Retouches sur la partie UseCase</t>
  </si>
  <si>
    <t>Préparation des tests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</si>
  <si>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</si>
  <si>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</si>
  <si>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</si>
  <si>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</si>
  <si>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12h25min</t>
  </si>
  <si>
    <t>- 75h20min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</si>
</sst>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1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19" xfId="0" applyFont="1" applyFill="1" applyBorder="1"/>
    <xf numFmtId="0" fontId="2" fillId="17" borderId="79" xfId="0" applyFont="1" applyFill="1" applyBorder="1"/>
    <xf numFmtId="0" fontId="2" fillId="17" borderId="54" xfId="0" applyFont="1" applyFill="1" applyBorder="1"/>
    <xf numFmtId="0" fontId="2" fillId="17" borderId="19" xfId="0" applyFont="1" applyFill="1" applyBorder="1" applyProtection="1"/>
    <xf numFmtId="0" fontId="2" fillId="17" borderId="77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56" xfId="0" applyFont="1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2" xfId="0" applyFont="1" applyFill="1" applyBorder="1"/>
    <xf numFmtId="0" fontId="2" fillId="18" borderId="7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18" borderId="25" xfId="0" applyFont="1" applyFill="1" applyBorder="1"/>
    <xf numFmtId="0" fontId="2" fillId="18" borderId="55" xfId="0" applyFont="1" applyFill="1" applyBorder="1"/>
    <xf numFmtId="0" fontId="2" fillId="18" borderId="25" xfId="0" applyFont="1" applyFill="1" applyBorder="1" applyProtection="1"/>
    <xf numFmtId="0" fontId="2" fillId="18" borderId="78" xfId="0" applyFont="1" applyFill="1" applyBorder="1"/>
    <xf numFmtId="0" fontId="2" fillId="18" borderId="73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2" fillId="17" borderId="18" xfId="0" applyFont="1" applyFill="1" applyBorder="1" applyProtection="1"/>
    <xf numFmtId="0" fontId="2" fillId="17" borderId="72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9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5.4200000762939453</c:v>
              </c:pt>
              <c:pt idx="2">
                <c:v>21.579999923706055</c:v>
              </c:pt>
              <c:pt idx="3">
                <c:v>0.57999998331069946</c:v>
              </c:pt>
              <c:pt idx="4">
                <c:v>0.17000000178813934</c:v>
              </c:pt>
              <c:pt idx="5">
                <c:v>0</c:v>
              </c:pt>
              <c:pt idx="6">
                <c:v>3.1700000762939453</c:v>
              </c:pt>
              <c:pt idx="7">
                <c:v>0.17000000178813934</c:v>
              </c:pt>
              <c:pt idx="8">
                <c:v>0.17000000178813934</c:v>
              </c:pt>
              <c:pt idx="9">
                <c:v>0.33000001311302185</c:v>
              </c:pt>
              <c:pt idx="10">
                <c:v>1.8300000429153442</c:v>
              </c:pt>
              <c:pt idx="11">
                <c:v>2.3299999237060547</c:v>
              </c:pt>
              <c:pt idx="12">
                <c:v>0.41999998688697815</c:v>
              </c:pt>
              <c:pt idx="13">
                <c:v>1</c:v>
              </c:pt>
              <c:pt idx="14">
                <c:v>0.5</c:v>
              </c:pt>
              <c:pt idx="15">
                <c:v>3</c:v>
              </c:pt>
              <c:pt idx="16">
                <c:v>10.670000076293945</c:v>
              </c:pt>
              <c:pt idx="17">
                <c:v>0.82999998331069946</c:v>
              </c:pt>
              <c:pt idx="18">
                <c:v>2</c:v>
              </c:pt>
              <c:pt idx="19">
                <c:v>3.0799999237060547</c:v>
              </c:pt>
              <c:pt idx="20">
                <c:v>9.5799999237060547</c:v>
              </c:pt>
              <c:pt idx="21">
                <c:v>9.5</c:v>
              </c:pt>
              <c:pt idx="22">
                <c:v>4.5799999237060547</c:v>
              </c:pt>
              <c:pt idx="23">
                <c:v>1.4199999570846558</c:v>
              </c:pt>
              <c:pt idx="24">
                <c:v>0.82999998331069946</c:v>
              </c:pt>
              <c:pt idx="25">
                <c:v>0.41999998688697815</c:v>
              </c:pt>
              <c:pt idx="26">
                <c:v>3.3299999237060547</c:v>
              </c:pt>
              <c:pt idx="27">
                <c:v>0.82999998331069946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0.41999998688697815</c:v>
              </c:pt>
              <c:pt idx="2">
                <c:v>2.4200000762939453</c:v>
              </c:pt>
              <c:pt idx="3">
                <c:v>0.92000001668930054</c:v>
              </c:pt>
              <c:pt idx="4">
                <c:v>0.17000000178813934</c:v>
              </c:pt>
              <c:pt idx="5">
                <c:v>0</c:v>
              </c:pt>
              <c:pt idx="6">
                <c:v>0.5</c:v>
              </c:pt>
              <c:pt idx="7">
                <c:v>0.17000000178813934</c:v>
              </c:pt>
              <c:pt idx="8">
                <c:v>0.17000000178813934</c:v>
              </c:pt>
              <c:pt idx="9">
                <c:v>0.33000001311302185</c:v>
              </c:pt>
              <c:pt idx="10">
                <c:v>1.8300000429153442</c:v>
              </c:pt>
              <c:pt idx="11">
                <c:v>1.5800000429153442</c:v>
              </c:pt>
              <c:pt idx="12">
                <c:v>0.82999998331069946</c:v>
              </c:pt>
              <c:pt idx="13">
                <c:v>2.0799999237060547</c:v>
              </c:pt>
              <c:pt idx="14">
                <c:v>1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65984" y="189068"/>
          <a:ext cx="1238686" cy="388830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1355834" y="87299"/>
          <a:ext cx="2262286" cy="517539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6" sqref="H36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3" t="s">
        <v>31</v>
      </c>
      <c r="C35" s="193"/>
      <c r="D35" s="193"/>
      <c r="E35" s="107" t="s">
        <v>140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4" t="s">
        <v>32</v>
      </c>
      <c r="C37" s="194"/>
      <c r="D37" s="194"/>
      <c r="E37" s="109" t="s">
        <v>155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89" t="s">
        <v>156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OD99"/>
  <sheetViews>
    <sheetView showGridLines="0" topLeftCell="A63" zoomScale="70" zoomScaleNormal="70" zoomScaleSheetLayoutView="43" workbookViewId="0">
      <selection activeCell="F94" sqref="F94:BOC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745" width="1.140625" style="3" customWidth="1"/>
    <col min="1746" max="1746" width="2.7109375" style="3" customWidth="1"/>
    <col min="1747" max="16384" width="11.42578125" style="3"/>
  </cols>
  <sheetData>
    <row r="1" spans="1:1746" ht="35.1" customHeight="1" x14ac:dyDescent="0.25">
      <c r="B1" s="95"/>
      <c r="C1" s="225" t="s">
        <v>30</v>
      </c>
      <c r="D1" s="225"/>
      <c r="E1" s="225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87"/>
      <c r="BJO1" s="87"/>
      <c r="BJP1" s="87"/>
      <c r="BJQ1" s="87"/>
      <c r="BJR1" s="87"/>
      <c r="BJS1" s="87"/>
      <c r="BJT1" s="87"/>
      <c r="BJU1" s="87"/>
      <c r="BJV1" s="87"/>
      <c r="BJW1" s="87"/>
      <c r="BJX1" s="87"/>
      <c r="BJY1" s="87"/>
      <c r="BJZ1" s="87"/>
      <c r="BKA1" s="87"/>
      <c r="BKB1" s="87"/>
      <c r="BKC1" s="87"/>
      <c r="BKD1" s="87"/>
      <c r="BKE1" s="87"/>
      <c r="BKF1" s="87"/>
      <c r="BKG1" s="87"/>
      <c r="BKH1" s="87"/>
      <c r="BKI1" s="87"/>
      <c r="BKJ1" s="87"/>
      <c r="BKK1" s="87"/>
      <c r="BKL1" s="87"/>
      <c r="BKM1" s="87"/>
      <c r="BKN1" s="87"/>
      <c r="BKO1" s="87"/>
      <c r="BKP1" s="87"/>
      <c r="BKQ1" s="87"/>
      <c r="BKR1" s="87"/>
      <c r="BKS1" s="87"/>
      <c r="BKT1" s="87"/>
      <c r="BKU1" s="87"/>
      <c r="BKV1" s="87"/>
      <c r="BKW1" s="87"/>
      <c r="BKX1" s="87"/>
      <c r="BKY1" s="87"/>
      <c r="BKZ1" s="87"/>
      <c r="BLA1" s="87"/>
      <c r="BLB1" s="87"/>
      <c r="BLC1" s="87"/>
      <c r="BLD1" s="87"/>
      <c r="BLE1" s="87"/>
      <c r="BLF1" s="87"/>
      <c r="BLG1" s="87"/>
      <c r="BLH1" s="87"/>
      <c r="BLI1" s="87"/>
      <c r="BLJ1" s="87"/>
      <c r="BLK1" s="87"/>
      <c r="BLL1" s="87"/>
      <c r="BLM1" s="87"/>
      <c r="BLN1" s="87"/>
      <c r="BLO1" s="87"/>
      <c r="BLP1" s="87"/>
      <c r="BLQ1" s="87"/>
      <c r="BLR1" s="87"/>
      <c r="BLS1" s="87"/>
      <c r="BLT1" s="87"/>
      <c r="BLU1" s="87"/>
      <c r="BLV1" s="87"/>
      <c r="BLW1" s="87"/>
      <c r="BLX1" s="87"/>
      <c r="BLY1" s="87"/>
      <c r="BLZ1" s="87"/>
      <c r="BMA1" s="87"/>
      <c r="BMB1" s="87"/>
      <c r="BMC1" s="87"/>
      <c r="BMD1" s="87"/>
      <c r="BME1" s="87"/>
      <c r="BMF1" s="87"/>
      <c r="BMG1" s="87"/>
      <c r="BMH1" s="87"/>
      <c r="BMI1" s="87"/>
      <c r="BMJ1" s="87"/>
      <c r="BMK1" s="87"/>
      <c r="BML1" s="87"/>
      <c r="BMM1" s="87"/>
      <c r="BMN1" s="87"/>
      <c r="BMO1" s="87"/>
      <c r="BMP1" s="87"/>
      <c r="BMQ1" s="87"/>
      <c r="BMR1" s="87"/>
      <c r="BMS1" s="87"/>
      <c r="BMT1" s="87"/>
      <c r="BMU1" s="87"/>
      <c r="BMV1" s="87"/>
      <c r="BMW1" s="87"/>
      <c r="BMX1" s="87"/>
      <c r="BMY1" s="87"/>
      <c r="BMZ1" s="87"/>
      <c r="BNA1" s="87"/>
      <c r="BNB1" s="87"/>
      <c r="BNC1" s="87"/>
      <c r="BND1" s="87"/>
      <c r="BNE1" s="87"/>
      <c r="BNF1" s="87"/>
      <c r="BNG1" s="87"/>
      <c r="BNH1" s="87"/>
      <c r="BNI1" s="87"/>
      <c r="BNJ1" s="87"/>
      <c r="BNK1" s="87"/>
      <c r="BNL1" s="87"/>
      <c r="BNM1" s="87"/>
      <c r="BNN1" s="87"/>
      <c r="BNO1" s="87"/>
      <c r="BNP1" s="87"/>
      <c r="BNQ1" s="87"/>
      <c r="BNR1" s="87"/>
      <c r="BNS1" s="87"/>
      <c r="BNT1" s="87"/>
      <c r="BNU1" s="87"/>
      <c r="BNV1" s="87"/>
      <c r="BNW1" s="87"/>
      <c r="BNX1" s="87"/>
      <c r="BNY1" s="87"/>
      <c r="BNZ1" s="87"/>
      <c r="BOA1" s="87"/>
      <c r="BOB1" s="87"/>
      <c r="BOC1" s="87"/>
      <c r="BOD1" s="93">
        <v>1</v>
      </c>
    </row>
    <row r="2" spans="1:174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88"/>
      <c r="BJO2" s="88"/>
      <c r="BJP2" s="88"/>
      <c r="BJQ2" s="88"/>
      <c r="BJR2" s="88"/>
      <c r="BJS2" s="88"/>
      <c r="BJT2" s="88"/>
      <c r="BJU2" s="88"/>
      <c r="BJV2" s="88"/>
      <c r="BJW2" s="88"/>
      <c r="BJX2" s="88"/>
      <c r="BJY2" s="88"/>
      <c r="BJZ2" s="88"/>
      <c r="BKA2" s="88"/>
      <c r="BKB2" s="88"/>
      <c r="BKC2" s="88"/>
      <c r="BKD2" s="88"/>
      <c r="BKE2" s="88"/>
      <c r="BKF2" s="88"/>
      <c r="BKG2" s="88"/>
      <c r="BKH2" s="88"/>
      <c r="BKI2" s="88"/>
      <c r="BKJ2" s="88"/>
      <c r="BKK2" s="88"/>
      <c r="BKL2" s="88"/>
      <c r="BKM2" s="88"/>
      <c r="BKN2" s="88"/>
      <c r="BKO2" s="88"/>
      <c r="BKP2" s="88"/>
      <c r="BKQ2" s="88"/>
      <c r="BKR2" s="88"/>
      <c r="BKS2" s="88"/>
      <c r="BKT2" s="88"/>
      <c r="BKU2" s="88"/>
      <c r="BKV2" s="88"/>
      <c r="BKW2" s="88"/>
      <c r="BKX2" s="88"/>
      <c r="BKY2" s="88"/>
      <c r="BKZ2" s="88"/>
      <c r="BLA2" s="88"/>
      <c r="BLB2" s="88"/>
      <c r="BLC2" s="88"/>
      <c r="BLD2" s="88"/>
      <c r="BLE2" s="88"/>
      <c r="BLF2" s="88"/>
      <c r="BLG2" s="88"/>
      <c r="BLH2" s="88"/>
      <c r="BLI2" s="88"/>
      <c r="BLJ2" s="88"/>
      <c r="BLK2" s="88"/>
      <c r="BLL2" s="88"/>
      <c r="BLM2" s="88"/>
      <c r="BLN2" s="88"/>
      <c r="BLO2" s="88"/>
      <c r="BLP2" s="88"/>
      <c r="BLQ2" s="88"/>
      <c r="BLR2" s="88"/>
      <c r="BLS2" s="88"/>
      <c r="BLT2" s="88"/>
      <c r="BLU2" s="88"/>
      <c r="BLV2" s="88"/>
      <c r="BLW2" s="88"/>
      <c r="BLX2" s="88"/>
      <c r="BLY2" s="88"/>
      <c r="BLZ2" s="88"/>
      <c r="BMA2" s="88"/>
      <c r="BMB2" s="88"/>
      <c r="BMC2" s="88"/>
      <c r="BMD2" s="88"/>
      <c r="BME2" s="88"/>
      <c r="BMF2" s="88"/>
      <c r="BMG2" s="88"/>
      <c r="BMH2" s="88"/>
      <c r="BMI2" s="88"/>
      <c r="BMJ2" s="88"/>
      <c r="BMK2" s="88"/>
      <c r="BML2" s="88"/>
      <c r="BMM2" s="88"/>
      <c r="BMN2" s="88"/>
      <c r="BMO2" s="88"/>
      <c r="BMP2" s="88"/>
      <c r="BMQ2" s="88"/>
      <c r="BMR2" s="88"/>
      <c r="BMS2" s="88"/>
      <c r="BMT2" s="88"/>
      <c r="BMU2" s="88"/>
      <c r="BMV2" s="88"/>
      <c r="BMW2" s="88"/>
      <c r="BMX2" s="88"/>
      <c r="BMY2" s="88"/>
      <c r="BMZ2" s="88"/>
      <c r="BNA2" s="88"/>
      <c r="BNB2" s="88"/>
      <c r="BNC2" s="88"/>
      <c r="BND2" s="88"/>
      <c r="BNE2" s="88"/>
      <c r="BNF2" s="88"/>
      <c r="BNG2" s="88"/>
      <c r="BNH2" s="88"/>
      <c r="BNI2" s="88"/>
      <c r="BNJ2" s="88"/>
      <c r="BNK2" s="88"/>
      <c r="BNL2" s="88"/>
      <c r="BNM2" s="88"/>
      <c r="BNN2" s="88"/>
      <c r="BNO2" s="88"/>
      <c r="BNP2" s="88"/>
      <c r="BNQ2" s="88"/>
      <c r="BNR2" s="88"/>
      <c r="BNS2" s="88"/>
      <c r="BNT2" s="88"/>
      <c r="BNU2" s="88"/>
      <c r="BNV2" s="88"/>
      <c r="BNW2" s="88"/>
      <c r="BNX2" s="88"/>
      <c r="BNY2" s="88"/>
      <c r="BNZ2" s="88"/>
      <c r="BOA2" s="88"/>
      <c r="BOB2" s="88"/>
      <c r="BOC2" s="88"/>
      <c r="BOD2" s="90"/>
    </row>
    <row r="3" spans="1:1746" ht="30" customHeight="1" x14ac:dyDescent="0.25">
      <c r="B3" s="96"/>
      <c r="C3" s="7" t="s">
        <v>0</v>
      </c>
      <c r="D3" s="140"/>
      <c r="E3" s="8" t="s">
        <v>51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88"/>
      <c r="BJO3" s="88"/>
      <c r="BJP3" s="88"/>
      <c r="BJQ3" s="88"/>
      <c r="BJR3" s="88"/>
      <c r="BJS3" s="88"/>
      <c r="BJT3" s="88"/>
      <c r="BJU3" s="88"/>
      <c r="BJV3" s="88"/>
      <c r="BJW3" s="88"/>
      <c r="BJX3" s="88"/>
      <c r="BJY3" s="88"/>
      <c r="BJZ3" s="88"/>
      <c r="BKA3" s="88"/>
      <c r="BKB3" s="88"/>
      <c r="BKC3" s="88"/>
      <c r="BKD3" s="88"/>
      <c r="BKE3" s="88"/>
      <c r="BKF3" s="88"/>
      <c r="BKG3" s="88"/>
      <c r="BKH3" s="88"/>
      <c r="BKI3" s="88"/>
      <c r="BKJ3" s="88"/>
      <c r="BKK3" s="88"/>
      <c r="BKL3" s="88"/>
      <c r="BKM3" s="88"/>
      <c r="BKN3" s="88"/>
      <c r="BKO3" s="88"/>
      <c r="BKP3" s="88"/>
      <c r="BKQ3" s="88"/>
      <c r="BKR3" s="88"/>
      <c r="BKS3" s="88"/>
      <c r="BKT3" s="88"/>
      <c r="BKU3" s="88"/>
      <c r="BKV3" s="88"/>
      <c r="BKW3" s="88"/>
      <c r="BKX3" s="88"/>
      <c r="BKY3" s="88"/>
      <c r="BKZ3" s="88"/>
      <c r="BLA3" s="88"/>
      <c r="BLB3" s="88"/>
      <c r="BLC3" s="88"/>
      <c r="BLD3" s="88"/>
      <c r="BLE3" s="88"/>
      <c r="BLF3" s="88"/>
      <c r="BLG3" s="88"/>
      <c r="BLH3" s="88"/>
      <c r="BLI3" s="88"/>
      <c r="BLJ3" s="88"/>
      <c r="BLK3" s="88"/>
      <c r="BLL3" s="88"/>
      <c r="BLM3" s="88"/>
      <c r="BLN3" s="88"/>
      <c r="BLO3" s="88"/>
      <c r="BLP3" s="88"/>
      <c r="BLQ3" s="88"/>
      <c r="BLR3" s="88"/>
      <c r="BLS3" s="88"/>
      <c r="BLT3" s="88"/>
      <c r="BLU3" s="88"/>
      <c r="BLV3" s="88"/>
      <c r="BLW3" s="88"/>
      <c r="BLX3" s="88"/>
      <c r="BLY3" s="88"/>
      <c r="BLZ3" s="88"/>
      <c r="BMA3" s="88"/>
      <c r="BMB3" s="88"/>
      <c r="BMC3" s="88"/>
      <c r="BMD3" s="88"/>
      <c r="BME3" s="88"/>
      <c r="BMF3" s="88"/>
      <c r="BMG3" s="88"/>
      <c r="BMH3" s="88"/>
      <c r="BMI3" s="88"/>
      <c r="BMJ3" s="88"/>
      <c r="BMK3" s="88"/>
      <c r="BML3" s="88"/>
      <c r="BMM3" s="88"/>
      <c r="BMN3" s="88"/>
      <c r="BMO3" s="88"/>
      <c r="BMP3" s="88"/>
      <c r="BMQ3" s="88"/>
      <c r="BMR3" s="88"/>
      <c r="BMS3" s="88"/>
      <c r="BMT3" s="88"/>
      <c r="BMU3" s="88"/>
      <c r="BMV3" s="88"/>
      <c r="BMW3" s="88"/>
      <c r="BMX3" s="88"/>
      <c r="BMY3" s="88"/>
      <c r="BMZ3" s="88"/>
      <c r="BNA3" s="88"/>
      <c r="BNB3" s="88"/>
      <c r="BNC3" s="88"/>
      <c r="BND3" s="88"/>
      <c r="BNE3" s="88"/>
      <c r="BNF3" s="88"/>
      <c r="BNG3" s="88"/>
      <c r="BNH3" s="88"/>
      <c r="BNI3" s="88"/>
      <c r="BNJ3" s="88"/>
      <c r="BNK3" s="88"/>
      <c r="BNL3" s="88"/>
      <c r="BNM3" s="88"/>
      <c r="BNN3" s="88"/>
      <c r="BNO3" s="88"/>
      <c r="BNP3" s="88"/>
      <c r="BNQ3" s="88"/>
      <c r="BNR3" s="88"/>
      <c r="BNS3" s="88"/>
      <c r="BNT3" s="88"/>
      <c r="BNU3" s="88"/>
      <c r="BNV3" s="88"/>
      <c r="BNW3" s="88"/>
      <c r="BNX3" s="88"/>
      <c r="BNY3" s="88"/>
      <c r="BNZ3" s="88"/>
      <c r="BOA3" s="88"/>
      <c r="BOB3" s="88"/>
      <c r="BOC3" s="88"/>
      <c r="BOD3" s="90"/>
    </row>
    <row r="4" spans="1:1746" ht="30" customHeight="1" x14ac:dyDescent="0.25">
      <c r="B4" s="96"/>
      <c r="C4" s="12" t="s">
        <v>6</v>
      </c>
      <c r="D4" s="141"/>
      <c r="E4" s="13" t="s">
        <v>50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88"/>
      <c r="BJO4" s="88"/>
      <c r="BJP4" s="88"/>
      <c r="BJQ4" s="88"/>
      <c r="BJR4" s="88"/>
      <c r="BJS4" s="88"/>
      <c r="BJT4" s="88"/>
      <c r="BJU4" s="88"/>
      <c r="BJV4" s="88"/>
      <c r="BJW4" s="88"/>
      <c r="BJX4" s="88"/>
      <c r="BJY4" s="88"/>
      <c r="BJZ4" s="88"/>
      <c r="BKA4" s="88"/>
      <c r="BKB4" s="88"/>
      <c r="BKC4" s="88"/>
      <c r="BKD4" s="88"/>
      <c r="BKE4" s="88"/>
      <c r="BKF4" s="88"/>
      <c r="BKG4" s="88"/>
      <c r="BKH4" s="88"/>
      <c r="BKI4" s="88"/>
      <c r="BKJ4" s="88"/>
      <c r="BKK4" s="88"/>
      <c r="BKL4" s="88"/>
      <c r="BKM4" s="88"/>
      <c r="BKN4" s="88"/>
      <c r="BKO4" s="88"/>
      <c r="BKP4" s="88"/>
      <c r="BKQ4" s="88"/>
      <c r="BKR4" s="88"/>
      <c r="BKS4" s="88"/>
      <c r="BKT4" s="88"/>
      <c r="BKU4" s="88"/>
      <c r="BKV4" s="88"/>
      <c r="BKW4" s="88"/>
      <c r="BKX4" s="88"/>
      <c r="BKY4" s="88"/>
      <c r="BKZ4" s="88"/>
      <c r="BLA4" s="88"/>
      <c r="BLB4" s="88"/>
      <c r="BLC4" s="88"/>
      <c r="BLD4" s="88"/>
      <c r="BLE4" s="88"/>
      <c r="BLF4" s="88"/>
      <c r="BLG4" s="88"/>
      <c r="BLH4" s="88"/>
      <c r="BLI4" s="88"/>
      <c r="BLJ4" s="88"/>
      <c r="BLK4" s="88"/>
      <c r="BLL4" s="88"/>
      <c r="BLM4" s="88"/>
      <c r="BLN4" s="88"/>
      <c r="BLO4" s="88"/>
      <c r="BLP4" s="88"/>
      <c r="BLQ4" s="88"/>
      <c r="BLR4" s="88"/>
      <c r="BLS4" s="88"/>
      <c r="BLT4" s="88"/>
      <c r="BLU4" s="88"/>
      <c r="BLV4" s="88"/>
      <c r="BLW4" s="88"/>
      <c r="BLX4" s="88"/>
      <c r="BLY4" s="88"/>
      <c r="BLZ4" s="88"/>
      <c r="BMA4" s="88"/>
      <c r="BMB4" s="88"/>
      <c r="BMC4" s="88"/>
      <c r="BMD4" s="88"/>
      <c r="BME4" s="88"/>
      <c r="BMF4" s="88"/>
      <c r="BMG4" s="88"/>
      <c r="BMH4" s="88"/>
      <c r="BMI4" s="88"/>
      <c r="BMJ4" s="88"/>
      <c r="BMK4" s="88"/>
      <c r="BML4" s="88"/>
      <c r="BMM4" s="88"/>
      <c r="BMN4" s="88"/>
      <c r="BMO4" s="88"/>
      <c r="BMP4" s="88"/>
      <c r="BMQ4" s="88"/>
      <c r="BMR4" s="88"/>
      <c r="BMS4" s="88"/>
      <c r="BMT4" s="88"/>
      <c r="BMU4" s="88"/>
      <c r="BMV4" s="88"/>
      <c r="BMW4" s="88"/>
      <c r="BMX4" s="88"/>
      <c r="BMY4" s="88"/>
      <c r="BMZ4" s="88"/>
      <c r="BNA4" s="88"/>
      <c r="BNB4" s="88"/>
      <c r="BNC4" s="88"/>
      <c r="BND4" s="88"/>
      <c r="BNE4" s="88"/>
      <c r="BNF4" s="88"/>
      <c r="BNG4" s="88"/>
      <c r="BNH4" s="88"/>
      <c r="BNI4" s="88"/>
      <c r="BNJ4" s="88"/>
      <c r="BNK4" s="88"/>
      <c r="BNL4" s="88"/>
      <c r="BNM4" s="88"/>
      <c r="BNN4" s="88"/>
      <c r="BNO4" s="88"/>
      <c r="BNP4" s="88"/>
      <c r="BNQ4" s="88"/>
      <c r="BNR4" s="88"/>
      <c r="BNS4" s="88"/>
      <c r="BNT4" s="88"/>
      <c r="BNU4" s="88"/>
      <c r="BNV4" s="88"/>
      <c r="BNW4" s="88"/>
      <c r="BNX4" s="88"/>
      <c r="BNY4" s="88"/>
      <c r="BNZ4" s="88"/>
      <c r="BOA4" s="88"/>
      <c r="BOB4" s="88"/>
      <c r="BOC4" s="88"/>
      <c r="BOD4" s="90"/>
    </row>
    <row r="5" spans="1:1746" ht="30" customHeight="1" x14ac:dyDescent="0.25">
      <c r="B5" s="96"/>
      <c r="C5" s="12" t="s">
        <v>1</v>
      </c>
      <c r="D5" s="141"/>
      <c r="E5" s="13" t="s">
        <v>49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88"/>
      <c r="BJO5" s="88"/>
      <c r="BJP5" s="88"/>
      <c r="BJQ5" s="88"/>
      <c r="BJR5" s="88"/>
      <c r="BJS5" s="88"/>
      <c r="BJT5" s="88"/>
      <c r="BJU5" s="88"/>
      <c r="BJV5" s="88"/>
      <c r="BJW5" s="88"/>
      <c r="BJX5" s="88"/>
      <c r="BJY5" s="88"/>
      <c r="BJZ5" s="88"/>
      <c r="BKA5" s="88"/>
      <c r="BKB5" s="88"/>
      <c r="BKC5" s="88"/>
      <c r="BKD5" s="88"/>
      <c r="BKE5" s="88"/>
      <c r="BKF5" s="88"/>
      <c r="BKG5" s="88"/>
      <c r="BKH5" s="88"/>
      <c r="BKI5" s="88"/>
      <c r="BKJ5" s="88"/>
      <c r="BKK5" s="88"/>
      <c r="BKL5" s="88"/>
      <c r="BKM5" s="88"/>
      <c r="BKN5" s="88"/>
      <c r="BKO5" s="88"/>
      <c r="BKP5" s="88"/>
      <c r="BKQ5" s="88"/>
      <c r="BKR5" s="88"/>
      <c r="BKS5" s="88"/>
      <c r="BKT5" s="88"/>
      <c r="BKU5" s="88"/>
      <c r="BKV5" s="88"/>
      <c r="BKW5" s="88"/>
      <c r="BKX5" s="88"/>
      <c r="BKY5" s="88"/>
      <c r="BKZ5" s="88"/>
      <c r="BLA5" s="88"/>
      <c r="BLB5" s="88"/>
      <c r="BLC5" s="88"/>
      <c r="BLD5" s="88"/>
      <c r="BLE5" s="88"/>
      <c r="BLF5" s="88"/>
      <c r="BLG5" s="88"/>
      <c r="BLH5" s="88"/>
      <c r="BLI5" s="88"/>
      <c r="BLJ5" s="88"/>
      <c r="BLK5" s="88"/>
      <c r="BLL5" s="88"/>
      <c r="BLM5" s="88"/>
      <c r="BLN5" s="88"/>
      <c r="BLO5" s="88"/>
      <c r="BLP5" s="88"/>
      <c r="BLQ5" s="88"/>
      <c r="BLR5" s="88"/>
      <c r="BLS5" s="88"/>
      <c r="BLT5" s="88"/>
      <c r="BLU5" s="88"/>
      <c r="BLV5" s="88"/>
      <c r="BLW5" s="88"/>
      <c r="BLX5" s="88"/>
      <c r="BLY5" s="88"/>
      <c r="BLZ5" s="88"/>
      <c r="BMA5" s="88"/>
      <c r="BMB5" s="88"/>
      <c r="BMC5" s="88"/>
      <c r="BMD5" s="88"/>
      <c r="BME5" s="88"/>
      <c r="BMF5" s="88"/>
      <c r="BMG5" s="88"/>
      <c r="BMH5" s="88"/>
      <c r="BMI5" s="88"/>
      <c r="BMJ5" s="88"/>
      <c r="BMK5" s="88"/>
      <c r="BML5" s="88"/>
      <c r="BMM5" s="88"/>
      <c r="BMN5" s="88"/>
      <c r="BMO5" s="88"/>
      <c r="BMP5" s="88"/>
      <c r="BMQ5" s="88"/>
      <c r="BMR5" s="88"/>
      <c r="BMS5" s="88"/>
      <c r="BMT5" s="88"/>
      <c r="BMU5" s="88"/>
      <c r="BMV5" s="88"/>
      <c r="BMW5" s="88"/>
      <c r="BMX5" s="88"/>
      <c r="BMY5" s="88"/>
      <c r="BMZ5" s="88"/>
      <c r="BNA5" s="88"/>
      <c r="BNB5" s="88"/>
      <c r="BNC5" s="88"/>
      <c r="BND5" s="88"/>
      <c r="BNE5" s="88"/>
      <c r="BNF5" s="88"/>
      <c r="BNG5" s="88"/>
      <c r="BNH5" s="88"/>
      <c r="BNI5" s="88"/>
      <c r="BNJ5" s="88"/>
      <c r="BNK5" s="88"/>
      <c r="BNL5" s="88"/>
      <c r="BNM5" s="88"/>
      <c r="BNN5" s="88"/>
      <c r="BNO5" s="88"/>
      <c r="BNP5" s="88"/>
      <c r="BNQ5" s="88"/>
      <c r="BNR5" s="88"/>
      <c r="BNS5" s="88"/>
      <c r="BNT5" s="88"/>
      <c r="BNU5" s="88"/>
      <c r="BNV5" s="88"/>
      <c r="BNW5" s="88"/>
      <c r="BNX5" s="88"/>
      <c r="BNY5" s="88"/>
      <c r="BNZ5" s="88"/>
      <c r="BOA5" s="88"/>
      <c r="BOB5" s="88"/>
      <c r="BOC5" s="88"/>
      <c r="BOD5" s="90"/>
    </row>
    <row r="6" spans="1:1746" ht="30" customHeight="1" thickBot="1" x14ac:dyDescent="0.3">
      <c r="B6" s="96"/>
      <c r="C6" s="17" t="s">
        <v>2</v>
      </c>
      <c r="D6" s="142"/>
      <c r="E6" s="18" t="s">
        <v>52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88"/>
      <c r="BJO6" s="88"/>
      <c r="BJP6" s="88"/>
      <c r="BJQ6" s="88"/>
      <c r="BJR6" s="88"/>
      <c r="BJS6" s="88"/>
      <c r="BJT6" s="88"/>
      <c r="BJU6" s="88"/>
      <c r="BJV6" s="88"/>
      <c r="BJW6" s="88"/>
      <c r="BJX6" s="88"/>
      <c r="BJY6" s="88"/>
      <c r="BJZ6" s="88"/>
      <c r="BKA6" s="88"/>
      <c r="BKB6" s="88"/>
      <c r="BKC6" s="88"/>
      <c r="BKD6" s="88"/>
      <c r="BKE6" s="88"/>
      <c r="BKF6" s="88"/>
      <c r="BKG6" s="88"/>
      <c r="BKH6" s="88"/>
      <c r="BKI6" s="88"/>
      <c r="BKJ6" s="88"/>
      <c r="BKK6" s="88"/>
      <c r="BKL6" s="88"/>
      <c r="BKM6" s="88"/>
      <c r="BKN6" s="88"/>
      <c r="BKO6" s="88"/>
      <c r="BKP6" s="88"/>
      <c r="BKQ6" s="88"/>
      <c r="BKR6" s="88"/>
      <c r="BKS6" s="88"/>
      <c r="BKT6" s="88"/>
      <c r="BKU6" s="88"/>
      <c r="BKV6" s="88"/>
      <c r="BKW6" s="88"/>
      <c r="BKX6" s="88"/>
      <c r="BKY6" s="88"/>
      <c r="BKZ6" s="88"/>
      <c r="BLA6" s="88"/>
      <c r="BLB6" s="88"/>
      <c r="BLC6" s="88"/>
      <c r="BLD6" s="88"/>
      <c r="BLE6" s="88"/>
      <c r="BLF6" s="88"/>
      <c r="BLG6" s="88"/>
      <c r="BLH6" s="88"/>
      <c r="BLI6" s="88"/>
      <c r="BLJ6" s="88"/>
      <c r="BLK6" s="88"/>
      <c r="BLL6" s="88"/>
      <c r="BLM6" s="88"/>
      <c r="BLN6" s="88"/>
      <c r="BLO6" s="88"/>
      <c r="BLP6" s="88"/>
      <c r="BLQ6" s="88"/>
      <c r="BLR6" s="88"/>
      <c r="BLS6" s="88"/>
      <c r="BLT6" s="88"/>
      <c r="BLU6" s="88"/>
      <c r="BLV6" s="88"/>
      <c r="BLW6" s="88"/>
      <c r="BLX6" s="88"/>
      <c r="BLY6" s="88"/>
      <c r="BLZ6" s="88"/>
      <c r="BMA6" s="88"/>
      <c r="BMB6" s="88"/>
      <c r="BMC6" s="88"/>
      <c r="BMD6" s="88"/>
      <c r="BME6" s="88"/>
      <c r="BMF6" s="88"/>
      <c r="BMG6" s="88"/>
      <c r="BMH6" s="88"/>
      <c r="BMI6" s="88"/>
      <c r="BMJ6" s="88"/>
      <c r="BMK6" s="88"/>
      <c r="BML6" s="88"/>
      <c r="BMM6" s="88"/>
      <c r="BMN6" s="88"/>
      <c r="BMO6" s="88"/>
      <c r="BMP6" s="88"/>
      <c r="BMQ6" s="88"/>
      <c r="BMR6" s="88"/>
      <c r="BMS6" s="88"/>
      <c r="BMT6" s="88"/>
      <c r="BMU6" s="88"/>
      <c r="BMV6" s="88"/>
      <c r="BMW6" s="88"/>
      <c r="BMX6" s="88"/>
      <c r="BMY6" s="88"/>
      <c r="BMZ6" s="88"/>
      <c r="BNA6" s="88"/>
      <c r="BNB6" s="88"/>
      <c r="BNC6" s="88"/>
      <c r="BND6" s="88"/>
      <c r="BNE6" s="88"/>
      <c r="BNF6" s="88"/>
      <c r="BNG6" s="88"/>
      <c r="BNH6" s="88"/>
      <c r="BNI6" s="88"/>
      <c r="BNJ6" s="88"/>
      <c r="BNK6" s="88"/>
      <c r="BNL6" s="88"/>
      <c r="BNM6" s="88"/>
      <c r="BNN6" s="88"/>
      <c r="BNO6" s="88"/>
      <c r="BNP6" s="88"/>
      <c r="BNQ6" s="88"/>
      <c r="BNR6" s="88"/>
      <c r="BNS6" s="88"/>
      <c r="BNT6" s="88"/>
      <c r="BNU6" s="88"/>
      <c r="BNV6" s="88"/>
      <c r="BNW6" s="88"/>
      <c r="BNX6" s="88"/>
      <c r="BNY6" s="88"/>
      <c r="BNZ6" s="88"/>
      <c r="BOA6" s="88"/>
      <c r="BOB6" s="88"/>
      <c r="BOC6" s="88"/>
      <c r="BOD6" s="90"/>
    </row>
    <row r="7" spans="1:1746" ht="20.100000000000001" customHeight="1" thickBot="1" x14ac:dyDescent="0.3">
      <c r="B7" s="96"/>
      <c r="C7" s="226"/>
      <c r="D7" s="226"/>
      <c r="E7" s="226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88"/>
      <c r="BJO7" s="88"/>
      <c r="BJP7" s="88"/>
      <c r="BJQ7" s="88"/>
      <c r="BJR7" s="88"/>
      <c r="BJS7" s="88"/>
      <c r="BJT7" s="88"/>
      <c r="BJU7" s="88"/>
      <c r="BJV7" s="88"/>
      <c r="BJW7" s="88"/>
      <c r="BJX7" s="88"/>
      <c r="BJY7" s="88"/>
      <c r="BJZ7" s="88"/>
      <c r="BKA7" s="88"/>
      <c r="BKB7" s="88"/>
      <c r="BKC7" s="88"/>
      <c r="BKD7" s="88"/>
      <c r="BKE7" s="88"/>
      <c r="BKF7" s="88"/>
      <c r="BKG7" s="88"/>
      <c r="BKH7" s="88"/>
      <c r="BKI7" s="88"/>
      <c r="BKJ7" s="88"/>
      <c r="BKK7" s="88"/>
      <c r="BKL7" s="88"/>
      <c r="BKM7" s="88"/>
      <c r="BKN7" s="88"/>
      <c r="BKO7" s="88"/>
      <c r="BKP7" s="88"/>
      <c r="BKQ7" s="88"/>
      <c r="BKR7" s="88"/>
      <c r="BKS7" s="88"/>
      <c r="BKT7" s="88"/>
      <c r="BKU7" s="88"/>
      <c r="BKV7" s="88"/>
      <c r="BKW7" s="88"/>
      <c r="BKX7" s="88"/>
      <c r="BKY7" s="88"/>
      <c r="BKZ7" s="88"/>
      <c r="BLA7" s="88"/>
      <c r="BLB7" s="88"/>
      <c r="BLC7" s="88"/>
      <c r="BLD7" s="88"/>
      <c r="BLE7" s="88"/>
      <c r="BLF7" s="88"/>
      <c r="BLG7" s="88"/>
      <c r="BLH7" s="88"/>
      <c r="BLI7" s="88"/>
      <c r="BLJ7" s="88"/>
      <c r="BLK7" s="88"/>
      <c r="BLL7" s="88"/>
      <c r="BLM7" s="88"/>
      <c r="BLN7" s="88"/>
      <c r="BLO7" s="88"/>
      <c r="BLP7" s="88"/>
      <c r="BLQ7" s="88"/>
      <c r="BLR7" s="88"/>
      <c r="BLS7" s="88"/>
      <c r="BLT7" s="88"/>
      <c r="BLU7" s="88"/>
      <c r="BLV7" s="88"/>
      <c r="BLW7" s="88"/>
      <c r="BLX7" s="88"/>
      <c r="BLY7" s="88"/>
      <c r="BLZ7" s="88"/>
      <c r="BMA7" s="88"/>
      <c r="BMB7" s="88"/>
      <c r="BMC7" s="88"/>
      <c r="BMD7" s="88"/>
      <c r="BME7" s="88"/>
      <c r="BMF7" s="88"/>
      <c r="BMG7" s="88"/>
      <c r="BMH7" s="88"/>
      <c r="BMI7" s="88"/>
      <c r="BMJ7" s="88"/>
      <c r="BMK7" s="88"/>
      <c r="BML7" s="88"/>
      <c r="BMM7" s="88"/>
      <c r="BMN7" s="88"/>
      <c r="BMO7" s="88"/>
      <c r="BMP7" s="88"/>
      <c r="BMQ7" s="88"/>
      <c r="BMR7" s="88"/>
      <c r="BMS7" s="88"/>
      <c r="BMT7" s="88"/>
      <c r="BMU7" s="88"/>
      <c r="BMV7" s="88"/>
      <c r="BMW7" s="88"/>
      <c r="BMX7" s="88"/>
      <c r="BMY7" s="88"/>
      <c r="BMZ7" s="88"/>
      <c r="BNA7" s="88"/>
      <c r="BNB7" s="88"/>
      <c r="BNC7" s="88"/>
      <c r="BND7" s="88"/>
      <c r="BNE7" s="88"/>
      <c r="BNF7" s="88"/>
      <c r="BNG7" s="88"/>
      <c r="BNH7" s="88"/>
      <c r="BNI7" s="88"/>
      <c r="BNJ7" s="88"/>
      <c r="BNK7" s="88"/>
      <c r="BNL7" s="88"/>
      <c r="BNM7" s="88"/>
      <c r="BNN7" s="88"/>
      <c r="BNO7" s="88"/>
      <c r="BNP7" s="88"/>
      <c r="BNQ7" s="88"/>
      <c r="BNR7" s="88"/>
      <c r="BNS7" s="88"/>
      <c r="BNT7" s="88"/>
      <c r="BNU7" s="88"/>
      <c r="BNV7" s="88"/>
      <c r="BNW7" s="88"/>
      <c r="BNX7" s="88"/>
      <c r="BNY7" s="88"/>
      <c r="BNZ7" s="88"/>
      <c r="BOA7" s="88"/>
      <c r="BOB7" s="88"/>
      <c r="BOC7" s="88"/>
      <c r="BOD7" s="90"/>
    </row>
    <row r="8" spans="1:1746" ht="30" customHeight="1" x14ac:dyDescent="0.25">
      <c r="B8" s="96"/>
      <c r="C8" s="7" t="s">
        <v>3</v>
      </c>
      <c r="D8" s="140"/>
      <c r="E8" s="8" t="s">
        <v>53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88"/>
      <c r="BJO8" s="88"/>
      <c r="BJP8" s="88"/>
      <c r="BJQ8" s="88"/>
      <c r="BJR8" s="88"/>
      <c r="BJS8" s="88"/>
      <c r="BJT8" s="88"/>
      <c r="BJU8" s="88"/>
      <c r="BJV8" s="88"/>
      <c r="BJW8" s="88"/>
      <c r="BJX8" s="88"/>
      <c r="BJY8" s="88"/>
      <c r="BJZ8" s="88"/>
      <c r="BKA8" s="88"/>
      <c r="BKB8" s="88"/>
      <c r="BKC8" s="88"/>
      <c r="BKD8" s="88"/>
      <c r="BKE8" s="88"/>
      <c r="BKF8" s="88"/>
      <c r="BKG8" s="88"/>
      <c r="BKH8" s="88"/>
      <c r="BKI8" s="88"/>
      <c r="BKJ8" s="88"/>
      <c r="BKK8" s="88"/>
      <c r="BKL8" s="88"/>
      <c r="BKM8" s="88"/>
      <c r="BKN8" s="88"/>
      <c r="BKO8" s="88"/>
      <c r="BKP8" s="88"/>
      <c r="BKQ8" s="88"/>
      <c r="BKR8" s="88"/>
      <c r="BKS8" s="88"/>
      <c r="BKT8" s="88"/>
      <c r="BKU8" s="88"/>
      <c r="BKV8" s="88"/>
      <c r="BKW8" s="88"/>
      <c r="BKX8" s="88"/>
      <c r="BKY8" s="88"/>
      <c r="BKZ8" s="88"/>
      <c r="BLA8" s="88"/>
      <c r="BLB8" s="88"/>
      <c r="BLC8" s="88"/>
      <c r="BLD8" s="88"/>
      <c r="BLE8" s="88"/>
      <c r="BLF8" s="88"/>
      <c r="BLG8" s="88"/>
      <c r="BLH8" s="88"/>
      <c r="BLI8" s="88"/>
      <c r="BLJ8" s="88"/>
      <c r="BLK8" s="88"/>
      <c r="BLL8" s="88"/>
      <c r="BLM8" s="88"/>
      <c r="BLN8" s="88"/>
      <c r="BLO8" s="88"/>
      <c r="BLP8" s="88"/>
      <c r="BLQ8" s="88"/>
      <c r="BLR8" s="88"/>
      <c r="BLS8" s="88"/>
      <c r="BLT8" s="88"/>
      <c r="BLU8" s="88"/>
      <c r="BLV8" s="88"/>
      <c r="BLW8" s="88"/>
      <c r="BLX8" s="88"/>
      <c r="BLY8" s="88"/>
      <c r="BLZ8" s="88"/>
      <c r="BMA8" s="88"/>
      <c r="BMB8" s="88"/>
      <c r="BMC8" s="88"/>
      <c r="BMD8" s="88"/>
      <c r="BME8" s="88"/>
      <c r="BMF8" s="88"/>
      <c r="BMG8" s="88"/>
      <c r="BMH8" s="88"/>
      <c r="BMI8" s="88"/>
      <c r="BMJ8" s="88"/>
      <c r="BMK8" s="88"/>
      <c r="BML8" s="88"/>
      <c r="BMM8" s="88"/>
      <c r="BMN8" s="88"/>
      <c r="BMO8" s="88"/>
      <c r="BMP8" s="88"/>
      <c r="BMQ8" s="88"/>
      <c r="BMR8" s="88"/>
      <c r="BMS8" s="88"/>
      <c r="BMT8" s="88"/>
      <c r="BMU8" s="88"/>
      <c r="BMV8" s="88"/>
      <c r="BMW8" s="88"/>
      <c r="BMX8" s="88"/>
      <c r="BMY8" s="88"/>
      <c r="BMZ8" s="88"/>
      <c r="BNA8" s="88"/>
      <c r="BNB8" s="88"/>
      <c r="BNC8" s="88"/>
      <c r="BND8" s="88"/>
      <c r="BNE8" s="88"/>
      <c r="BNF8" s="88"/>
      <c r="BNG8" s="88"/>
      <c r="BNH8" s="88"/>
      <c r="BNI8" s="88"/>
      <c r="BNJ8" s="88"/>
      <c r="BNK8" s="88"/>
      <c r="BNL8" s="88"/>
      <c r="BNM8" s="88"/>
      <c r="BNN8" s="88"/>
      <c r="BNO8" s="88"/>
      <c r="BNP8" s="88"/>
      <c r="BNQ8" s="88"/>
      <c r="BNR8" s="88"/>
      <c r="BNS8" s="88"/>
      <c r="BNT8" s="88"/>
      <c r="BNU8" s="88"/>
      <c r="BNV8" s="88"/>
      <c r="BNW8" s="88"/>
      <c r="BNX8" s="88"/>
      <c r="BNY8" s="88"/>
      <c r="BNZ8" s="88"/>
      <c r="BOA8" s="88"/>
      <c r="BOB8" s="88"/>
      <c r="BOC8" s="88"/>
      <c r="BOD8" s="90"/>
    </row>
    <row r="9" spans="1:1746" ht="30" customHeight="1" x14ac:dyDescent="0.25">
      <c r="B9" s="96"/>
      <c r="C9" s="12" t="s">
        <v>17</v>
      </c>
      <c r="D9" s="141"/>
      <c r="E9" s="13" t="s">
        <v>21</v>
      </c>
      <c r="F9" s="14"/>
      <c r="G9" s="221" t="str">
        <f>E96</f>
        <v>87h45min</v>
      </c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1"/>
      <c r="S9" s="221"/>
      <c r="T9" s="221"/>
      <c r="U9" s="221"/>
      <c r="V9" s="119"/>
      <c r="W9" s="220" t="s">
        <v>22</v>
      </c>
      <c r="X9" s="220"/>
      <c r="Y9" s="220"/>
      <c r="Z9" s="220"/>
      <c r="AA9" s="220"/>
      <c r="AB9" s="220"/>
      <c r="AC9" s="220"/>
      <c r="AD9" s="220"/>
      <c r="AE9" s="220"/>
      <c r="AF9" s="220"/>
      <c r="AG9" s="220"/>
      <c r="AH9" s="221" t="str">
        <f>E98</f>
        <v>12h25min</v>
      </c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  <c r="AU9" s="221"/>
      <c r="AV9" s="221"/>
      <c r="AW9" s="221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88"/>
      <c r="BJO9" s="88"/>
      <c r="BJP9" s="88"/>
      <c r="BJQ9" s="88"/>
      <c r="BJR9" s="88"/>
      <c r="BJS9" s="88"/>
      <c r="BJT9" s="88"/>
      <c r="BJU9" s="88"/>
      <c r="BJV9" s="88"/>
      <c r="BJW9" s="88"/>
      <c r="BJX9" s="88"/>
      <c r="BJY9" s="88"/>
      <c r="BJZ9" s="88"/>
      <c r="BKA9" s="88"/>
      <c r="BKB9" s="88"/>
      <c r="BKC9" s="88"/>
      <c r="BKD9" s="88"/>
      <c r="BKE9" s="88"/>
      <c r="BKF9" s="88"/>
      <c r="BKG9" s="88"/>
      <c r="BKH9" s="88"/>
      <c r="BKI9" s="88"/>
      <c r="BKJ9" s="88"/>
      <c r="BKK9" s="88"/>
      <c r="BKL9" s="88"/>
      <c r="BKM9" s="88"/>
      <c r="BKN9" s="88"/>
      <c r="BKO9" s="88"/>
      <c r="BKP9" s="88"/>
      <c r="BKQ9" s="88"/>
      <c r="BKR9" s="88"/>
      <c r="BKS9" s="88"/>
      <c r="BKT9" s="88"/>
      <c r="BKU9" s="88"/>
      <c r="BKV9" s="88"/>
      <c r="BKW9" s="88"/>
      <c r="BKX9" s="88"/>
      <c r="BKY9" s="88"/>
      <c r="BKZ9" s="88"/>
      <c r="BLA9" s="88"/>
      <c r="BLB9" s="88"/>
      <c r="BLC9" s="88"/>
      <c r="BLD9" s="88"/>
      <c r="BLE9" s="88"/>
      <c r="BLF9" s="88"/>
      <c r="BLG9" s="88"/>
      <c r="BLH9" s="88"/>
      <c r="BLI9" s="88"/>
      <c r="BLJ9" s="88"/>
      <c r="BLK9" s="88"/>
      <c r="BLL9" s="88"/>
      <c r="BLM9" s="88"/>
      <c r="BLN9" s="88"/>
      <c r="BLO9" s="88"/>
      <c r="BLP9" s="88"/>
      <c r="BLQ9" s="88"/>
      <c r="BLR9" s="88"/>
      <c r="BLS9" s="88"/>
      <c r="BLT9" s="88"/>
      <c r="BLU9" s="88"/>
      <c r="BLV9" s="88"/>
      <c r="BLW9" s="88"/>
      <c r="BLX9" s="88"/>
      <c r="BLY9" s="88"/>
      <c r="BLZ9" s="88"/>
      <c r="BMA9" s="88"/>
      <c r="BMB9" s="88"/>
      <c r="BMC9" s="88"/>
      <c r="BMD9" s="88"/>
      <c r="BME9" s="88"/>
      <c r="BMF9" s="88"/>
      <c r="BMG9" s="88"/>
      <c r="BMH9" s="88"/>
      <c r="BMI9" s="88"/>
      <c r="BMJ9" s="88"/>
      <c r="BMK9" s="88"/>
      <c r="BML9" s="88"/>
      <c r="BMM9" s="88"/>
      <c r="BMN9" s="88"/>
      <c r="BMO9" s="88"/>
      <c r="BMP9" s="88"/>
      <c r="BMQ9" s="88"/>
      <c r="BMR9" s="88"/>
      <c r="BMS9" s="88"/>
      <c r="BMT9" s="88"/>
      <c r="BMU9" s="88"/>
      <c r="BMV9" s="88"/>
      <c r="BMW9" s="88"/>
      <c r="BMX9" s="88"/>
      <c r="BMY9" s="88"/>
      <c r="BMZ9" s="88"/>
      <c r="BNA9" s="88"/>
      <c r="BNB9" s="88"/>
      <c r="BNC9" s="88"/>
      <c r="BND9" s="88"/>
      <c r="BNE9" s="88"/>
      <c r="BNF9" s="88"/>
      <c r="BNG9" s="88"/>
      <c r="BNH9" s="88"/>
      <c r="BNI9" s="88"/>
      <c r="BNJ9" s="88"/>
      <c r="BNK9" s="88"/>
      <c r="BNL9" s="88"/>
      <c r="BNM9" s="88"/>
      <c r="BNN9" s="88"/>
      <c r="BNO9" s="88"/>
      <c r="BNP9" s="88"/>
      <c r="BNQ9" s="88"/>
      <c r="BNR9" s="88"/>
      <c r="BNS9" s="88"/>
      <c r="BNT9" s="88"/>
      <c r="BNU9" s="88"/>
      <c r="BNV9" s="88"/>
      <c r="BNW9" s="88"/>
      <c r="BNX9" s="88"/>
      <c r="BNY9" s="88"/>
      <c r="BNZ9" s="88"/>
      <c r="BOA9" s="88"/>
      <c r="BOB9" s="88"/>
      <c r="BOC9" s="88"/>
      <c r="BOD9" s="90"/>
    </row>
    <row r="10" spans="1:174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22"/>
      <c r="BO10" s="222"/>
      <c r="BP10" s="222"/>
      <c r="BQ10" s="222"/>
      <c r="BR10" s="222"/>
      <c r="BS10" s="222"/>
      <c r="BT10" s="222"/>
      <c r="BU10" s="222"/>
      <c r="BV10" s="222"/>
      <c r="BW10" s="222"/>
      <c r="BX10" s="222"/>
      <c r="BY10" s="222"/>
      <c r="BZ10" s="222"/>
      <c r="CA10" s="222"/>
      <c r="CB10" s="222"/>
      <c r="CC10" s="222"/>
      <c r="CD10" s="222"/>
      <c r="CE10" s="222"/>
      <c r="CF10" s="222"/>
      <c r="CG10" s="222"/>
      <c r="CH10" s="222"/>
      <c r="CI10" s="222"/>
      <c r="CJ10" s="222"/>
      <c r="CK10" s="222"/>
      <c r="CL10" s="222"/>
      <c r="CM10" s="222"/>
      <c r="CN10" s="222"/>
      <c r="CO10" s="222"/>
      <c r="CP10" s="222"/>
      <c r="CQ10" s="92"/>
      <c r="CR10" s="195"/>
      <c r="CS10" s="195"/>
      <c r="CT10" s="195"/>
      <c r="CU10" s="195"/>
      <c r="CV10" s="195"/>
      <c r="CW10" s="195"/>
      <c r="CX10" s="195"/>
      <c r="CY10" s="195"/>
      <c r="CZ10" s="195"/>
      <c r="DA10" s="195"/>
      <c r="DB10" s="195"/>
      <c r="DC10" s="195"/>
      <c r="DD10" s="195"/>
      <c r="DE10" s="195"/>
      <c r="DF10" s="195"/>
      <c r="DG10" s="195"/>
      <c r="DH10" s="195"/>
      <c r="DI10" s="195"/>
      <c r="DJ10" s="195"/>
      <c r="DK10" s="195"/>
      <c r="DL10" s="195"/>
      <c r="DM10" s="195"/>
      <c r="DN10" s="195"/>
      <c r="DO10" s="195"/>
      <c r="DP10" s="195"/>
      <c r="DQ10" s="195"/>
      <c r="DR10" s="195"/>
      <c r="DS10" s="195"/>
      <c r="DT10" s="195"/>
      <c r="DU10" s="195"/>
      <c r="DV10" s="195"/>
      <c r="DW10" s="195"/>
      <c r="DX10" s="195"/>
      <c r="DY10" s="195"/>
      <c r="DZ10" s="195"/>
      <c r="EA10" s="195"/>
      <c r="EB10" s="195"/>
      <c r="EC10" s="195"/>
      <c r="ED10" s="195"/>
      <c r="EE10" s="195"/>
      <c r="EF10" s="195"/>
      <c r="EG10" s="195"/>
      <c r="EH10" s="195"/>
      <c r="EI10" s="195"/>
      <c r="EJ10" s="195"/>
      <c r="EK10" s="195"/>
      <c r="EL10" s="195"/>
      <c r="EM10" s="195"/>
      <c r="EN10" s="195"/>
      <c r="EO10" s="195"/>
      <c r="EP10" s="195"/>
      <c r="EQ10" s="195"/>
      <c r="ER10" s="195"/>
      <c r="ES10" s="195"/>
      <c r="ET10" s="195"/>
      <c r="EU10" s="195"/>
      <c r="EV10" s="195"/>
      <c r="EW10" s="195"/>
      <c r="EX10" s="195"/>
      <c r="EY10" s="195"/>
      <c r="EZ10" s="195"/>
      <c r="FA10" s="195"/>
      <c r="FB10" s="195"/>
      <c r="FC10" s="195"/>
      <c r="FD10" s="195"/>
      <c r="FE10" s="195"/>
      <c r="FF10" s="195"/>
      <c r="FG10" s="195"/>
      <c r="FH10" s="195"/>
      <c r="FI10" s="195"/>
      <c r="FJ10" s="195"/>
      <c r="FK10" s="195"/>
      <c r="FL10" s="195"/>
      <c r="FM10" s="195"/>
      <c r="FN10" s="195"/>
      <c r="FO10" s="195"/>
      <c r="FP10" s="195"/>
      <c r="FQ10" s="195"/>
      <c r="FR10" s="195"/>
      <c r="FS10" s="195"/>
      <c r="FT10" s="195"/>
      <c r="FU10" s="195"/>
      <c r="FV10" s="195"/>
      <c r="FW10" s="195"/>
      <c r="FX10" s="195"/>
      <c r="FY10" s="195"/>
      <c r="FZ10" s="195"/>
      <c r="GA10" s="195"/>
      <c r="GB10" s="195"/>
      <c r="GC10" s="195"/>
      <c r="GD10" s="195"/>
      <c r="GE10" s="195"/>
      <c r="GF10" s="195"/>
      <c r="GG10" s="195"/>
      <c r="GH10" s="195"/>
      <c r="GI10" s="195"/>
      <c r="GJ10" s="195"/>
      <c r="GK10" s="195"/>
      <c r="GL10" s="195"/>
      <c r="GM10" s="195"/>
      <c r="GN10" s="195"/>
      <c r="GO10" s="195"/>
      <c r="GP10" s="195"/>
      <c r="GQ10" s="195"/>
      <c r="GR10" s="195"/>
      <c r="GS10" s="195"/>
      <c r="GT10" s="195"/>
      <c r="GU10" s="195"/>
      <c r="GV10" s="195"/>
      <c r="GW10" s="195"/>
      <c r="GX10" s="195"/>
      <c r="GY10" s="195"/>
      <c r="GZ10" s="195"/>
      <c r="HA10" s="195"/>
      <c r="HB10" s="195"/>
      <c r="HC10" s="195"/>
      <c r="HD10" s="195"/>
      <c r="HE10" s="195"/>
      <c r="HF10" s="195"/>
      <c r="HG10" s="195"/>
      <c r="HH10" s="195"/>
      <c r="HI10" s="195"/>
      <c r="HJ10" s="195"/>
      <c r="HK10" s="195"/>
      <c r="HL10" s="195"/>
      <c r="HM10" s="195"/>
      <c r="HN10" s="195"/>
      <c r="HO10" s="195"/>
      <c r="HP10" s="195"/>
      <c r="HQ10" s="195"/>
      <c r="HR10" s="195"/>
      <c r="HS10" s="195"/>
      <c r="HT10" s="195"/>
      <c r="HU10" s="195"/>
      <c r="HV10" s="195"/>
      <c r="HW10" s="195"/>
      <c r="HX10" s="195"/>
      <c r="HY10" s="195"/>
      <c r="HZ10" s="195"/>
      <c r="IA10" s="195"/>
      <c r="IB10" s="195"/>
      <c r="IC10" s="195"/>
      <c r="ID10" s="195"/>
      <c r="IE10" s="195"/>
      <c r="IF10" s="195"/>
      <c r="IG10" s="195"/>
      <c r="IH10" s="195"/>
      <c r="II10" s="195"/>
      <c r="IJ10" s="195"/>
      <c r="IK10" s="195"/>
      <c r="IL10" s="195"/>
      <c r="IM10" s="195"/>
      <c r="IN10" s="195"/>
      <c r="IO10" s="195"/>
      <c r="IP10" s="195"/>
      <c r="IQ10" s="195"/>
      <c r="IR10" s="195"/>
      <c r="IS10" s="195"/>
      <c r="IT10" s="195"/>
      <c r="IU10" s="195"/>
      <c r="IV10" s="195"/>
      <c r="IW10" s="195"/>
      <c r="IX10" s="195"/>
      <c r="IY10" s="195"/>
      <c r="IZ10" s="195"/>
      <c r="JA10" s="195"/>
      <c r="JB10" s="195"/>
      <c r="JC10" s="195"/>
      <c r="JD10" s="195"/>
      <c r="JE10" s="195"/>
      <c r="JF10" s="195"/>
      <c r="JG10" s="195"/>
      <c r="JH10" s="195"/>
      <c r="JI10" s="195"/>
      <c r="JJ10" s="195"/>
      <c r="JK10" s="195"/>
      <c r="JL10" s="195"/>
      <c r="JM10" s="195"/>
      <c r="JN10" s="195"/>
      <c r="JO10" s="195"/>
      <c r="JP10" s="195"/>
      <c r="JQ10" s="195"/>
      <c r="JR10" s="195"/>
      <c r="JS10" s="195"/>
      <c r="JT10" s="195"/>
      <c r="JU10" s="195"/>
      <c r="JV10" s="195"/>
      <c r="JW10" s="195"/>
      <c r="JX10" s="195"/>
      <c r="JY10" s="195"/>
      <c r="JZ10" s="195"/>
      <c r="KA10" s="195"/>
      <c r="KB10" s="195"/>
      <c r="KC10" s="195"/>
      <c r="KD10" s="195"/>
      <c r="KE10" s="195"/>
      <c r="KF10" s="195"/>
      <c r="KG10" s="195"/>
      <c r="KH10" s="195"/>
      <c r="KI10" s="195"/>
      <c r="KJ10" s="195"/>
      <c r="KK10" s="195"/>
      <c r="KL10" s="195"/>
      <c r="KM10" s="195"/>
      <c r="KN10" s="195"/>
      <c r="KO10" s="195"/>
      <c r="KP10" s="195"/>
      <c r="KQ10" s="195"/>
      <c r="KR10" s="195"/>
      <c r="KS10" s="195"/>
      <c r="KT10" s="195"/>
      <c r="KU10" s="195"/>
      <c r="KV10" s="195"/>
      <c r="KW10" s="195"/>
      <c r="KX10" s="195"/>
      <c r="KY10" s="195"/>
      <c r="KZ10" s="195"/>
      <c r="LA10" s="195"/>
      <c r="LB10" s="195"/>
      <c r="LC10" s="195"/>
      <c r="LD10" s="195"/>
      <c r="LE10" s="195"/>
      <c r="LF10" s="195"/>
      <c r="LG10" s="195"/>
      <c r="LH10" s="195"/>
      <c r="LI10" s="195"/>
      <c r="LJ10" s="195"/>
      <c r="LK10" s="195"/>
      <c r="LL10" s="195"/>
      <c r="LM10" s="195"/>
      <c r="LN10" s="195"/>
      <c r="LO10" s="195"/>
      <c r="LP10" s="195"/>
      <c r="LQ10" s="195"/>
      <c r="LR10" s="195"/>
      <c r="LS10" s="195"/>
      <c r="LT10" s="195"/>
      <c r="LU10" s="195"/>
      <c r="LV10" s="195"/>
      <c r="LW10" s="195"/>
      <c r="LX10" s="195"/>
      <c r="LY10" s="195"/>
      <c r="LZ10" s="195"/>
      <c r="MA10" s="195"/>
      <c r="MB10" s="195"/>
      <c r="MC10" s="195"/>
      <c r="MD10" s="195"/>
      <c r="ME10" s="195"/>
      <c r="MF10" s="195"/>
      <c r="MG10" s="195"/>
      <c r="MH10" s="195"/>
      <c r="MI10" s="195"/>
      <c r="MJ10" s="195"/>
      <c r="MK10" s="195"/>
      <c r="ML10" s="195"/>
      <c r="MM10" s="195"/>
      <c r="MN10" s="195"/>
      <c r="MO10" s="195"/>
      <c r="MP10" s="195"/>
      <c r="MQ10" s="195"/>
      <c r="MR10" s="195"/>
      <c r="MS10" s="195"/>
      <c r="MT10" s="195"/>
      <c r="MU10" s="195"/>
      <c r="MV10" s="195"/>
      <c r="MW10" s="195"/>
      <c r="MX10" s="195"/>
      <c r="MY10" s="195"/>
      <c r="MZ10" s="195"/>
      <c r="NA10" s="195"/>
      <c r="NB10" s="195"/>
      <c r="NC10" s="195"/>
      <c r="ND10" s="195"/>
      <c r="NE10" s="195"/>
      <c r="NF10" s="195"/>
      <c r="NG10" s="195"/>
      <c r="NH10" s="195"/>
      <c r="NI10" s="195"/>
      <c r="NJ10" s="195"/>
      <c r="NK10" s="195"/>
      <c r="NL10" s="195"/>
      <c r="NM10" s="195"/>
      <c r="NN10" s="195"/>
      <c r="NO10" s="195"/>
      <c r="NP10" s="195"/>
      <c r="NQ10" s="195"/>
      <c r="NR10" s="195"/>
      <c r="NS10" s="195"/>
      <c r="NT10" s="195"/>
      <c r="NU10" s="195"/>
      <c r="NV10" s="195"/>
      <c r="NW10" s="195"/>
      <c r="NX10" s="195"/>
      <c r="NY10" s="195"/>
      <c r="NZ10" s="195"/>
      <c r="OA10" s="195"/>
      <c r="OB10" s="195"/>
      <c r="OC10" s="195"/>
      <c r="OD10" s="195"/>
      <c r="OE10" s="195"/>
      <c r="OF10" s="195"/>
      <c r="OG10" s="195"/>
      <c r="OH10" s="195"/>
      <c r="OI10" s="195"/>
      <c r="OJ10" s="195"/>
      <c r="OK10" s="195"/>
      <c r="OL10" s="195"/>
      <c r="OM10" s="195"/>
      <c r="ON10" s="195"/>
      <c r="OO10" s="195"/>
      <c r="OP10" s="195"/>
      <c r="OQ10" s="195"/>
      <c r="OR10" s="195"/>
      <c r="OS10" s="195"/>
      <c r="OT10" s="195"/>
      <c r="OU10" s="195"/>
      <c r="OV10" s="195"/>
      <c r="OW10" s="195"/>
      <c r="OX10" s="195"/>
      <c r="OY10" s="195"/>
      <c r="OZ10" s="195"/>
      <c r="PA10" s="195"/>
      <c r="PB10" s="195"/>
      <c r="PC10" s="195"/>
      <c r="PD10" s="195"/>
      <c r="PE10" s="195"/>
      <c r="PF10" s="195"/>
      <c r="PG10" s="195"/>
      <c r="PH10" s="195"/>
      <c r="PI10" s="195"/>
      <c r="PJ10" s="195"/>
      <c r="PK10" s="195"/>
      <c r="PL10" s="195"/>
      <c r="PM10" s="195"/>
      <c r="PN10" s="195"/>
      <c r="PO10" s="195"/>
      <c r="PP10" s="195"/>
      <c r="PQ10" s="195"/>
      <c r="PR10" s="195"/>
      <c r="PS10" s="195"/>
      <c r="PT10" s="195"/>
      <c r="PU10" s="195"/>
      <c r="PV10" s="195"/>
      <c r="PW10" s="195"/>
      <c r="PX10" s="195"/>
      <c r="PY10" s="195"/>
      <c r="PZ10" s="195"/>
      <c r="QA10" s="195"/>
      <c r="QB10" s="195"/>
      <c r="QC10" s="195"/>
      <c r="QD10" s="195"/>
      <c r="QE10" s="195"/>
      <c r="QF10" s="195"/>
      <c r="QG10" s="195"/>
      <c r="QH10" s="195"/>
      <c r="QI10" s="195"/>
      <c r="QJ10" s="195"/>
      <c r="QK10" s="195"/>
      <c r="QL10" s="195"/>
      <c r="QM10" s="195"/>
      <c r="QN10" s="195"/>
      <c r="QO10" s="195"/>
      <c r="QP10" s="195"/>
      <c r="QQ10" s="195"/>
      <c r="QR10" s="195"/>
      <c r="QS10" s="195"/>
      <c r="QT10" s="195"/>
      <c r="QU10" s="195"/>
      <c r="QV10" s="195"/>
      <c r="QW10" s="195"/>
      <c r="QX10" s="195"/>
      <c r="QY10" s="195"/>
      <c r="QZ10" s="195"/>
      <c r="RA10" s="195"/>
      <c r="RB10" s="195"/>
      <c r="RC10" s="195"/>
      <c r="RD10" s="195"/>
      <c r="RE10" s="195"/>
      <c r="RF10" s="195"/>
      <c r="RG10" s="195"/>
      <c r="RH10" s="195"/>
      <c r="RI10" s="195"/>
      <c r="RJ10" s="195"/>
      <c r="RK10" s="195"/>
      <c r="RL10" s="195"/>
      <c r="RM10" s="195"/>
      <c r="RN10" s="195"/>
      <c r="RO10" s="195"/>
      <c r="RP10" s="195"/>
      <c r="RQ10" s="195"/>
      <c r="RR10" s="195"/>
      <c r="RS10" s="195"/>
      <c r="RT10" s="195"/>
      <c r="RU10" s="195"/>
      <c r="RV10" s="195"/>
      <c r="RW10" s="195"/>
      <c r="RX10" s="195"/>
      <c r="RY10" s="195"/>
      <c r="RZ10" s="195"/>
      <c r="SA10" s="195"/>
      <c r="SB10" s="195"/>
      <c r="SC10" s="195"/>
      <c r="SD10" s="195"/>
      <c r="SE10" s="195"/>
      <c r="SF10" s="195"/>
      <c r="SG10" s="195"/>
      <c r="SH10" s="195"/>
      <c r="SI10" s="195"/>
      <c r="SJ10" s="195"/>
      <c r="SK10" s="195"/>
      <c r="SL10" s="195"/>
      <c r="SM10" s="195"/>
      <c r="SN10" s="195"/>
      <c r="SO10" s="195"/>
      <c r="SP10" s="195"/>
      <c r="SQ10" s="195"/>
      <c r="SR10" s="195"/>
      <c r="SS10" s="195"/>
      <c r="ST10" s="195"/>
      <c r="SU10" s="195"/>
      <c r="SV10" s="195"/>
      <c r="SW10" s="195"/>
      <c r="SX10" s="195"/>
      <c r="SY10" s="195"/>
      <c r="SZ10" s="195"/>
      <c r="TA10" s="195"/>
      <c r="TB10" s="195"/>
      <c r="TC10" s="195"/>
      <c r="TD10" s="195"/>
      <c r="TE10" s="195"/>
      <c r="TF10" s="195"/>
      <c r="TG10" s="195"/>
      <c r="TH10" s="195"/>
      <c r="TI10" s="195"/>
      <c r="TJ10" s="195"/>
      <c r="TK10" s="195"/>
      <c r="TL10" s="195"/>
      <c r="TM10" s="195"/>
      <c r="TN10" s="195"/>
      <c r="TO10" s="195"/>
      <c r="TP10" s="195"/>
      <c r="TQ10" s="195"/>
      <c r="TR10" s="195"/>
      <c r="TS10" s="195"/>
      <c r="TT10" s="195"/>
      <c r="TU10" s="195"/>
      <c r="TV10" s="195"/>
      <c r="TW10" s="195"/>
      <c r="TX10" s="195"/>
      <c r="TY10" s="195"/>
      <c r="TZ10" s="195"/>
      <c r="UA10" s="195"/>
      <c r="UB10" s="195"/>
      <c r="UC10" s="195"/>
      <c r="UD10" s="195"/>
      <c r="UE10" s="195"/>
      <c r="UF10" s="195"/>
      <c r="UG10" s="195"/>
      <c r="UH10" s="195"/>
      <c r="UI10" s="195"/>
      <c r="UJ10" s="195"/>
      <c r="UK10" s="195"/>
      <c r="UL10" s="195"/>
      <c r="UM10" s="195"/>
      <c r="UN10" s="195"/>
      <c r="UO10" s="195"/>
      <c r="UP10" s="195"/>
      <c r="UQ10" s="195"/>
      <c r="UR10" s="195"/>
      <c r="US10" s="195"/>
      <c r="UT10" s="195"/>
      <c r="UU10" s="195"/>
      <c r="UV10" s="195"/>
      <c r="UW10" s="195"/>
      <c r="UX10" s="195"/>
      <c r="UY10" s="195"/>
      <c r="UZ10" s="195"/>
      <c r="VA10" s="195"/>
      <c r="VB10" s="195"/>
      <c r="VC10" s="195"/>
      <c r="VD10" s="195"/>
      <c r="VE10" s="195"/>
      <c r="VF10" s="195"/>
      <c r="VG10" s="195"/>
      <c r="VH10" s="195"/>
      <c r="VI10" s="195"/>
      <c r="VJ10" s="195"/>
      <c r="VK10" s="195"/>
      <c r="VL10" s="195"/>
      <c r="VM10" s="195"/>
      <c r="VN10" s="195"/>
      <c r="VO10" s="195"/>
      <c r="VP10" s="195"/>
      <c r="VQ10" s="195"/>
      <c r="VR10" s="195"/>
      <c r="VS10" s="195"/>
      <c r="VT10" s="195"/>
      <c r="VU10" s="195"/>
      <c r="VV10" s="195"/>
      <c r="VW10" s="195"/>
      <c r="VX10" s="195"/>
      <c r="VY10" s="195"/>
      <c r="VZ10" s="195"/>
      <c r="WA10" s="195"/>
      <c r="WB10" s="195"/>
      <c r="WC10" s="195"/>
      <c r="WD10" s="195"/>
      <c r="WE10" s="195"/>
      <c r="WF10" s="195"/>
      <c r="WG10" s="195"/>
      <c r="WH10" s="195"/>
      <c r="WI10" s="195"/>
      <c r="WJ10" s="195"/>
      <c r="WK10" s="195"/>
      <c r="WL10" s="195"/>
      <c r="WM10" s="195"/>
      <c r="WN10" s="195"/>
      <c r="WO10" s="195"/>
      <c r="WP10" s="195"/>
      <c r="WQ10" s="195"/>
      <c r="WR10" s="195"/>
      <c r="WS10" s="195"/>
      <c r="WT10" s="195"/>
      <c r="WU10" s="195"/>
      <c r="WV10" s="195"/>
      <c r="WW10" s="195"/>
      <c r="WX10" s="195"/>
      <c r="WY10" s="195"/>
      <c r="WZ10" s="195"/>
      <c r="XA10" s="195"/>
      <c r="XB10" s="195"/>
      <c r="XC10" s="195"/>
      <c r="XD10" s="195"/>
      <c r="XE10" s="195"/>
      <c r="XF10" s="195"/>
      <c r="XG10" s="195"/>
      <c r="XH10" s="195"/>
      <c r="XI10" s="195"/>
      <c r="XJ10" s="195"/>
      <c r="XK10" s="195"/>
      <c r="XL10" s="195"/>
      <c r="XM10" s="195"/>
      <c r="XN10" s="195"/>
      <c r="XO10" s="195"/>
      <c r="XP10" s="195"/>
      <c r="XQ10" s="195"/>
      <c r="XR10" s="195"/>
      <c r="XS10" s="195"/>
      <c r="XT10" s="195"/>
      <c r="XU10" s="195"/>
      <c r="XV10" s="195"/>
      <c r="XW10" s="195"/>
      <c r="XX10" s="195"/>
      <c r="XY10" s="195"/>
      <c r="XZ10" s="195"/>
      <c r="YA10" s="195"/>
      <c r="YB10" s="195"/>
      <c r="YC10" s="195"/>
      <c r="YD10" s="195"/>
      <c r="YE10" s="195"/>
      <c r="YF10" s="195"/>
      <c r="YG10" s="195"/>
      <c r="YH10" s="195"/>
      <c r="YI10" s="195"/>
      <c r="YJ10" s="195"/>
      <c r="YK10" s="195"/>
      <c r="YL10" s="195"/>
      <c r="YM10" s="195"/>
      <c r="YN10" s="195"/>
      <c r="YO10" s="195"/>
      <c r="YP10" s="195"/>
      <c r="YQ10" s="195"/>
      <c r="YR10" s="195"/>
      <c r="YS10" s="195"/>
      <c r="YT10" s="195"/>
      <c r="YU10" s="195"/>
      <c r="YV10" s="195"/>
      <c r="YW10" s="195"/>
      <c r="YX10" s="195"/>
      <c r="YY10" s="195"/>
      <c r="YZ10" s="195"/>
      <c r="ZA10" s="195"/>
      <c r="ZB10" s="195"/>
      <c r="ZC10" s="195"/>
      <c r="ZD10" s="195"/>
      <c r="ZE10" s="195"/>
      <c r="ZF10" s="195"/>
      <c r="ZG10" s="195"/>
      <c r="ZH10" s="195"/>
      <c r="ZI10" s="195"/>
      <c r="ZJ10" s="195"/>
      <c r="ZK10" s="195"/>
      <c r="ZL10" s="195"/>
      <c r="ZM10" s="195"/>
      <c r="ZN10" s="195"/>
      <c r="ZO10" s="195"/>
      <c r="ZP10" s="195"/>
      <c r="ZQ10" s="195"/>
      <c r="ZR10" s="195"/>
      <c r="ZS10" s="195"/>
      <c r="ZT10" s="195"/>
      <c r="ZU10" s="195"/>
      <c r="ZV10" s="195"/>
      <c r="ZW10" s="195"/>
      <c r="ZX10" s="195"/>
      <c r="ZY10" s="195"/>
      <c r="ZZ10" s="195"/>
      <c r="AAA10" s="195"/>
      <c r="AAB10" s="195"/>
      <c r="AAC10" s="195"/>
      <c r="AAD10" s="195"/>
      <c r="AAE10" s="195"/>
      <c r="AAF10" s="195"/>
      <c r="AAG10" s="195"/>
      <c r="AAH10" s="195"/>
      <c r="AAI10" s="195"/>
      <c r="AAJ10" s="195"/>
      <c r="AAK10" s="195"/>
      <c r="AAL10" s="195"/>
      <c r="AAM10" s="195"/>
      <c r="AAN10" s="195"/>
      <c r="AAO10" s="195"/>
      <c r="AAP10" s="195"/>
      <c r="AAQ10" s="195"/>
      <c r="AAR10" s="195"/>
      <c r="AAS10" s="195"/>
      <c r="AAT10" s="195"/>
      <c r="AAU10" s="195"/>
      <c r="AAV10" s="195"/>
      <c r="AAW10" s="195"/>
      <c r="AAX10" s="195"/>
      <c r="AAY10" s="195"/>
      <c r="AAZ10" s="195"/>
      <c r="ABA10" s="195"/>
      <c r="ABB10" s="195"/>
      <c r="ABC10" s="195"/>
      <c r="ABD10" s="195"/>
      <c r="ABE10" s="195"/>
      <c r="ABF10" s="195"/>
      <c r="ABG10" s="195"/>
      <c r="ABH10" s="195"/>
      <c r="ABI10" s="195"/>
      <c r="ABJ10" s="195"/>
      <c r="ABK10" s="195"/>
      <c r="ABL10" s="195"/>
      <c r="ABM10" s="195"/>
      <c r="ABN10" s="195"/>
      <c r="ABO10" s="195"/>
      <c r="ABP10" s="195"/>
      <c r="ABQ10" s="195"/>
      <c r="ABR10" s="195"/>
      <c r="ABS10" s="195"/>
      <c r="ABT10" s="195"/>
      <c r="ABU10" s="195"/>
      <c r="ABV10" s="195"/>
      <c r="ABW10" s="195"/>
      <c r="ABX10" s="195"/>
      <c r="ABY10" s="195"/>
      <c r="ABZ10" s="195"/>
      <c r="ACA10" s="195"/>
      <c r="ACB10" s="195"/>
      <c r="ACC10" s="195"/>
      <c r="ACD10" s="195"/>
      <c r="ACE10" s="195"/>
      <c r="ACF10" s="195"/>
      <c r="ACG10" s="195"/>
      <c r="ACH10" s="195"/>
      <c r="ACI10" s="195"/>
      <c r="ACJ10" s="195"/>
      <c r="ACK10" s="195"/>
      <c r="ACL10" s="195"/>
      <c r="ACM10" s="195"/>
      <c r="ACN10" s="195"/>
      <c r="ACO10" s="195"/>
      <c r="ACP10" s="195"/>
      <c r="ACQ10" s="195"/>
      <c r="ACR10" s="195"/>
      <c r="ACS10" s="195"/>
      <c r="ACT10" s="195"/>
      <c r="ACU10" s="195"/>
      <c r="ACV10" s="195"/>
      <c r="ACW10" s="195"/>
      <c r="ACX10" s="195"/>
      <c r="ACY10" s="195"/>
      <c r="ACZ10" s="195"/>
      <c r="ADA10" s="195"/>
      <c r="ADB10" s="195"/>
      <c r="ADC10" s="195"/>
      <c r="ADD10" s="195"/>
      <c r="ADE10" s="195"/>
      <c r="ADF10" s="195"/>
      <c r="ADG10" s="195"/>
      <c r="ADH10" s="195"/>
      <c r="ADI10" s="195"/>
      <c r="ADJ10" s="195"/>
      <c r="ADK10" s="195"/>
      <c r="ADL10" s="195"/>
      <c r="ADM10" s="195"/>
      <c r="ADN10" s="195"/>
      <c r="ADO10" s="195"/>
      <c r="ADP10" s="195"/>
      <c r="ADQ10" s="195"/>
      <c r="ADR10" s="195"/>
      <c r="ADS10" s="195"/>
      <c r="ADT10" s="195"/>
      <c r="ADU10" s="195"/>
      <c r="ADV10" s="195"/>
      <c r="ADW10" s="195"/>
      <c r="ADX10" s="195"/>
      <c r="ADY10" s="195"/>
      <c r="ADZ10" s="195"/>
      <c r="AEA10" s="195"/>
      <c r="AEB10" s="195"/>
      <c r="AEC10" s="195"/>
      <c r="AED10" s="195"/>
      <c r="AEE10" s="195"/>
      <c r="AEF10" s="195"/>
      <c r="AEG10" s="195"/>
      <c r="AEH10" s="195"/>
      <c r="AEI10" s="195"/>
      <c r="AEJ10" s="195"/>
      <c r="AEK10" s="195"/>
      <c r="AEL10" s="195"/>
      <c r="AEM10" s="195"/>
      <c r="AEN10" s="195"/>
      <c r="AEO10" s="195"/>
      <c r="AEP10" s="195"/>
      <c r="AEQ10" s="195"/>
      <c r="AER10" s="195"/>
      <c r="AES10" s="195"/>
      <c r="AET10" s="195"/>
      <c r="AEU10" s="195"/>
      <c r="AEV10" s="195"/>
      <c r="AEW10" s="195"/>
      <c r="AEX10" s="195"/>
      <c r="AEY10" s="195"/>
      <c r="AEZ10" s="195"/>
      <c r="AFA10" s="195"/>
      <c r="AFB10" s="195"/>
      <c r="AFC10" s="195"/>
      <c r="AFD10" s="195"/>
      <c r="AFE10" s="195"/>
      <c r="AFF10" s="195"/>
      <c r="AFG10" s="195"/>
      <c r="AFH10" s="195"/>
      <c r="AFI10" s="195"/>
      <c r="AFJ10" s="195"/>
      <c r="AFK10" s="195"/>
      <c r="AFL10" s="195"/>
      <c r="AFM10" s="195"/>
      <c r="AFN10" s="195"/>
      <c r="AFO10" s="195"/>
      <c r="AFP10" s="195"/>
      <c r="AFQ10" s="195"/>
      <c r="AFR10" s="195"/>
      <c r="AFS10" s="195"/>
      <c r="AFT10" s="195"/>
      <c r="AFU10" s="195"/>
      <c r="AFV10" s="195"/>
      <c r="AFW10" s="195"/>
      <c r="AFX10" s="195"/>
      <c r="AFY10" s="195"/>
      <c r="AFZ10" s="195"/>
      <c r="AGA10" s="195"/>
      <c r="AGB10" s="195"/>
      <c r="AGC10" s="195"/>
      <c r="AGD10" s="195"/>
      <c r="AGE10" s="195"/>
      <c r="AGF10" s="195"/>
      <c r="AGG10" s="195"/>
      <c r="AGH10" s="195"/>
      <c r="AGI10" s="195"/>
      <c r="AGJ10" s="195"/>
      <c r="AGK10" s="195"/>
      <c r="AGL10" s="195"/>
      <c r="AGM10" s="195"/>
      <c r="AGN10" s="195"/>
      <c r="AGO10" s="195"/>
      <c r="AGP10" s="195"/>
      <c r="AGQ10" s="195"/>
      <c r="AGR10" s="195"/>
      <c r="AGS10" s="195"/>
      <c r="AGT10" s="195"/>
      <c r="AGU10" s="195"/>
      <c r="AGV10" s="195"/>
      <c r="AGW10" s="195"/>
      <c r="AGX10" s="195"/>
      <c r="AGY10" s="195"/>
      <c r="AGZ10" s="195"/>
      <c r="AHA10" s="195"/>
      <c r="AHB10" s="195"/>
      <c r="AHC10" s="195"/>
      <c r="AHD10" s="195"/>
      <c r="AHE10" s="195"/>
      <c r="AHF10" s="195"/>
      <c r="AHG10" s="195"/>
      <c r="AHH10" s="195"/>
      <c r="AHI10" s="195"/>
      <c r="AHJ10" s="195"/>
      <c r="AHK10" s="195"/>
      <c r="AHL10" s="195"/>
      <c r="AHM10" s="195"/>
      <c r="AHN10" s="195"/>
      <c r="AHO10" s="195"/>
      <c r="AHP10" s="195"/>
      <c r="AHQ10" s="195"/>
      <c r="AHR10" s="195"/>
      <c r="AHS10" s="195"/>
      <c r="AHT10" s="195"/>
      <c r="AHU10" s="195"/>
      <c r="AHV10" s="195"/>
      <c r="AHW10" s="195"/>
      <c r="AHX10" s="195"/>
      <c r="AHY10" s="195"/>
      <c r="AHZ10" s="195"/>
      <c r="AIA10" s="195"/>
      <c r="AIB10" s="195"/>
      <c r="AIC10" s="195"/>
      <c r="AID10" s="195"/>
      <c r="AIE10" s="195"/>
      <c r="AIF10" s="195"/>
      <c r="AIG10" s="195"/>
      <c r="AIH10" s="195"/>
      <c r="AII10" s="195"/>
      <c r="AIJ10" s="195"/>
      <c r="AIK10" s="195"/>
      <c r="AIL10" s="195"/>
      <c r="AIM10" s="195"/>
      <c r="AIN10" s="195"/>
      <c r="AIO10" s="195"/>
      <c r="AIP10" s="195"/>
      <c r="AIQ10" s="195"/>
      <c r="AIR10" s="195"/>
      <c r="AIS10" s="195"/>
      <c r="AIT10" s="195"/>
      <c r="AIU10" s="195"/>
      <c r="AIV10" s="195"/>
      <c r="AIW10" s="195"/>
      <c r="AIX10" s="195"/>
      <c r="AIY10" s="195"/>
      <c r="AIZ10" s="195"/>
      <c r="AJA10" s="195"/>
      <c r="AJB10" s="195"/>
      <c r="AJC10" s="195"/>
      <c r="AJD10" s="195"/>
      <c r="AJE10" s="195"/>
      <c r="AJF10" s="195"/>
      <c r="AJG10" s="195"/>
      <c r="AJH10" s="195"/>
      <c r="AJI10" s="195"/>
      <c r="AJJ10" s="195"/>
      <c r="AJK10" s="195"/>
      <c r="AJL10" s="195"/>
      <c r="AJM10" s="195"/>
      <c r="AJN10" s="195"/>
      <c r="AJO10" s="195"/>
      <c r="AJP10" s="195"/>
      <c r="AJQ10" s="195"/>
      <c r="AJR10" s="195"/>
      <c r="AJS10" s="195"/>
      <c r="AJT10" s="195"/>
      <c r="AJU10" s="195"/>
      <c r="AJV10" s="195"/>
      <c r="AJW10" s="195"/>
      <c r="AJX10" s="195"/>
      <c r="AJY10" s="195"/>
      <c r="AJZ10" s="195"/>
      <c r="AKA10" s="195"/>
      <c r="AKB10" s="195"/>
      <c r="AKC10" s="195"/>
      <c r="AKD10" s="195"/>
      <c r="AKE10" s="195"/>
      <c r="AKF10" s="195"/>
      <c r="AKG10" s="195"/>
      <c r="AKH10" s="195"/>
      <c r="AKI10" s="195"/>
      <c r="AKJ10" s="195"/>
      <c r="AKK10" s="195"/>
      <c r="AKL10" s="195"/>
      <c r="AKM10" s="195"/>
      <c r="AKN10" s="195"/>
      <c r="AKO10" s="195"/>
      <c r="AKP10" s="195"/>
      <c r="AKQ10" s="195"/>
      <c r="AKR10" s="195"/>
      <c r="AKS10" s="195"/>
      <c r="AKT10" s="195"/>
      <c r="AKU10" s="195"/>
      <c r="AKV10" s="195"/>
      <c r="AKW10" s="195"/>
      <c r="AKX10" s="195"/>
      <c r="AKY10" s="195"/>
      <c r="AKZ10" s="195"/>
      <c r="ALA10" s="195"/>
      <c r="ALB10" s="195"/>
      <c r="ALC10" s="195"/>
      <c r="ALD10" s="195"/>
      <c r="ALE10" s="195"/>
      <c r="ALF10" s="195"/>
      <c r="ALG10" s="195"/>
      <c r="ALH10" s="195"/>
      <c r="ALI10" s="195"/>
      <c r="ALJ10" s="195"/>
      <c r="ALK10" s="195"/>
      <c r="ALL10" s="195"/>
      <c r="ALM10" s="195"/>
      <c r="ALN10" s="195"/>
      <c r="ALO10" s="195"/>
      <c r="ALP10" s="195"/>
      <c r="ALQ10" s="195"/>
      <c r="ALR10" s="195"/>
      <c r="ALS10" s="195"/>
      <c r="ALT10" s="195"/>
      <c r="ALU10" s="195"/>
      <c r="ALV10" s="195"/>
      <c r="ALW10" s="195"/>
      <c r="ALX10" s="195"/>
      <c r="ALY10" s="195"/>
      <c r="ALZ10" s="195"/>
      <c r="AMA10" s="195"/>
      <c r="AMB10" s="195"/>
      <c r="AMC10" s="195"/>
      <c r="AMD10" s="195"/>
      <c r="AME10" s="195"/>
      <c r="AMF10" s="195"/>
      <c r="AMG10" s="195"/>
      <c r="AMH10" s="195"/>
      <c r="AMI10" s="195"/>
      <c r="AMJ10" s="195"/>
      <c r="AMK10" s="195"/>
      <c r="AML10" s="195"/>
      <c r="AMM10" s="195"/>
      <c r="AMN10" s="195"/>
      <c r="AMO10" s="195"/>
      <c r="AMP10" s="195"/>
      <c r="AMQ10" s="195"/>
      <c r="AMR10" s="195"/>
      <c r="AMS10" s="195"/>
      <c r="AMT10" s="195"/>
      <c r="AMU10" s="195"/>
      <c r="AMV10" s="195"/>
      <c r="AMW10" s="195"/>
      <c r="AMX10" s="195"/>
      <c r="AMY10" s="195"/>
      <c r="AMZ10" s="195"/>
      <c r="ANA10" s="195"/>
      <c r="ANB10" s="195"/>
      <c r="ANC10" s="195"/>
      <c r="AND10" s="195"/>
      <c r="ANE10" s="195"/>
      <c r="ANF10" s="195"/>
      <c r="ANG10" s="195"/>
      <c r="ANH10" s="195"/>
      <c r="ANI10" s="195"/>
      <c r="ANJ10" s="195"/>
      <c r="ANK10" s="195"/>
      <c r="ANL10" s="195"/>
      <c r="ANM10" s="195"/>
      <c r="ANN10" s="195"/>
      <c r="ANO10" s="195"/>
      <c r="ANP10" s="195"/>
      <c r="ANQ10" s="195"/>
      <c r="ANR10" s="195"/>
      <c r="ANS10" s="195"/>
      <c r="ANT10" s="195"/>
      <c r="ANU10" s="195"/>
      <c r="ANV10" s="195"/>
      <c r="ANW10" s="195"/>
      <c r="ANX10" s="195"/>
      <c r="ANY10" s="195"/>
      <c r="ANZ10" s="195"/>
      <c r="AOA10" s="195"/>
      <c r="AOB10" s="195"/>
      <c r="AOC10" s="195"/>
      <c r="AOD10" s="195"/>
      <c r="AOE10" s="195"/>
      <c r="AOF10" s="195"/>
      <c r="AOG10" s="195"/>
      <c r="AOH10" s="195"/>
      <c r="AOI10" s="195"/>
      <c r="AOJ10" s="195"/>
      <c r="AOK10" s="195"/>
      <c r="AOL10" s="195"/>
      <c r="AOM10" s="195"/>
      <c r="AON10" s="195"/>
      <c r="AOO10" s="195"/>
      <c r="AOP10" s="195"/>
      <c r="AOQ10" s="195"/>
      <c r="AOR10" s="195"/>
      <c r="AOS10" s="195"/>
      <c r="AOT10" s="195"/>
      <c r="AOU10" s="195"/>
      <c r="AOV10" s="195"/>
      <c r="AOW10" s="195"/>
      <c r="AOX10" s="195"/>
      <c r="AOY10" s="195"/>
      <c r="AOZ10" s="195"/>
      <c r="APA10" s="195"/>
      <c r="APB10" s="195"/>
      <c r="APC10" s="195"/>
      <c r="APD10" s="195"/>
      <c r="APE10" s="195"/>
      <c r="APF10" s="195"/>
      <c r="APG10" s="195"/>
      <c r="APH10" s="195"/>
      <c r="API10" s="195"/>
      <c r="APJ10" s="195"/>
      <c r="APK10" s="195"/>
      <c r="APL10" s="195"/>
      <c r="APM10" s="195"/>
      <c r="APN10" s="195"/>
      <c r="APO10" s="195"/>
      <c r="APP10" s="195"/>
      <c r="APQ10" s="195"/>
      <c r="APR10" s="195"/>
      <c r="APS10" s="195"/>
      <c r="APT10" s="195"/>
      <c r="APU10" s="195"/>
      <c r="APV10" s="195"/>
      <c r="APW10" s="195"/>
      <c r="APX10" s="195"/>
      <c r="APY10" s="195"/>
      <c r="APZ10" s="195"/>
      <c r="AQA10" s="195"/>
      <c r="AQB10" s="195"/>
      <c r="AQC10" s="195"/>
      <c r="AQD10" s="195"/>
      <c r="AQE10" s="195"/>
      <c r="AQF10" s="195"/>
      <c r="AQG10" s="195"/>
      <c r="AQH10" s="195"/>
      <c r="AQI10" s="195"/>
      <c r="AQJ10" s="195"/>
      <c r="AQK10" s="195"/>
      <c r="AQL10" s="195"/>
      <c r="AQM10" s="195"/>
      <c r="AQN10" s="195"/>
      <c r="AQO10" s="195"/>
      <c r="AQP10" s="195"/>
      <c r="AQQ10" s="195"/>
      <c r="AQR10" s="195"/>
      <c r="AQS10" s="195"/>
      <c r="AQT10" s="195"/>
      <c r="AQU10" s="195"/>
      <c r="AQV10" s="195"/>
      <c r="AQW10" s="195"/>
      <c r="AQX10" s="195"/>
      <c r="AQY10" s="195"/>
      <c r="AQZ10" s="195"/>
      <c r="ARA10" s="195"/>
      <c r="ARB10" s="195"/>
      <c r="ARC10" s="195"/>
      <c r="ARD10" s="195"/>
      <c r="ARE10" s="195"/>
      <c r="ARF10" s="195"/>
      <c r="ARG10" s="195"/>
      <c r="ARH10" s="195"/>
      <c r="ARI10" s="195"/>
      <c r="ARJ10" s="195"/>
      <c r="ARK10" s="195"/>
      <c r="ARL10" s="195"/>
      <c r="ARM10" s="195"/>
      <c r="ARN10" s="195"/>
      <c r="ARO10" s="195"/>
      <c r="ARP10" s="195"/>
      <c r="ARQ10" s="195"/>
      <c r="ARR10" s="195"/>
      <c r="ARS10" s="195"/>
      <c r="ART10" s="195"/>
      <c r="ARU10" s="195"/>
      <c r="ARV10" s="195"/>
      <c r="ARW10" s="195"/>
      <c r="ARX10" s="195"/>
      <c r="ARY10" s="195"/>
      <c r="ARZ10" s="195"/>
      <c r="ASA10" s="195"/>
      <c r="ASB10" s="195"/>
      <c r="ASC10" s="195"/>
      <c r="ASD10" s="195"/>
      <c r="ASE10" s="195"/>
      <c r="ASF10" s="195"/>
      <c r="ASG10" s="195"/>
      <c r="ASH10" s="195"/>
      <c r="ASI10" s="195"/>
      <c r="ASJ10" s="195"/>
      <c r="ASK10" s="195"/>
      <c r="ASL10" s="195"/>
      <c r="ASM10" s="195"/>
      <c r="ASN10" s="195"/>
      <c r="ASO10" s="195"/>
      <c r="ASP10" s="195"/>
      <c r="ASQ10" s="195"/>
      <c r="ASR10" s="195"/>
      <c r="ASS10" s="195"/>
      <c r="AST10" s="195"/>
      <c r="ASU10" s="195"/>
      <c r="ASV10" s="195"/>
      <c r="ASW10" s="195"/>
      <c r="ASX10" s="195"/>
      <c r="ASY10" s="195"/>
      <c r="ASZ10" s="195"/>
      <c r="ATA10" s="195"/>
      <c r="ATB10" s="195"/>
      <c r="ATC10" s="195"/>
      <c r="ATD10" s="195"/>
      <c r="ATE10" s="195"/>
      <c r="ATF10" s="195"/>
      <c r="ATG10" s="195"/>
      <c r="ATH10" s="195"/>
      <c r="ATI10" s="195"/>
      <c r="ATJ10" s="195"/>
      <c r="ATK10" s="195"/>
      <c r="ATL10" s="195"/>
      <c r="ATM10" s="195"/>
      <c r="ATN10" s="195"/>
      <c r="ATO10" s="195"/>
      <c r="ATP10" s="195"/>
      <c r="ATQ10" s="195"/>
      <c r="ATR10" s="195"/>
      <c r="ATS10" s="195"/>
      <c r="ATT10" s="195"/>
      <c r="ATU10" s="195"/>
      <c r="ATV10" s="195"/>
      <c r="ATW10" s="195"/>
      <c r="ATX10" s="195"/>
      <c r="ATY10" s="195"/>
      <c r="ATZ10" s="195"/>
      <c r="AUA10" s="195"/>
      <c r="AUB10" s="195"/>
      <c r="AUC10" s="195"/>
      <c r="AUD10" s="195"/>
      <c r="AUE10" s="195"/>
      <c r="AUF10" s="195"/>
      <c r="AUG10" s="195"/>
      <c r="AUH10" s="195"/>
      <c r="AUI10" s="195"/>
      <c r="AUJ10" s="195"/>
      <c r="AUK10" s="195"/>
      <c r="AUL10" s="195"/>
      <c r="AUM10" s="195"/>
      <c r="AUN10" s="195"/>
      <c r="AUO10" s="195"/>
      <c r="AUP10" s="195"/>
      <c r="AUQ10" s="195"/>
      <c r="AUR10" s="195"/>
      <c r="AUS10" s="195"/>
      <c r="AUT10" s="195"/>
      <c r="AUU10" s="195"/>
      <c r="AUV10" s="195"/>
      <c r="AUW10" s="195"/>
      <c r="AUX10" s="195"/>
      <c r="AUY10" s="195"/>
      <c r="AUZ10" s="195"/>
      <c r="AVA10" s="195"/>
      <c r="AVB10" s="195"/>
      <c r="AVC10" s="195"/>
      <c r="AVD10" s="195"/>
      <c r="AVE10" s="195"/>
      <c r="AVF10" s="195"/>
      <c r="AVG10" s="195"/>
      <c r="AVH10" s="195"/>
      <c r="AVI10" s="195"/>
      <c r="AVJ10" s="195"/>
      <c r="AVK10" s="195"/>
      <c r="AVL10" s="195"/>
      <c r="AVM10" s="195"/>
      <c r="AVN10" s="195"/>
      <c r="AVO10" s="195"/>
      <c r="AVP10" s="195"/>
      <c r="AVQ10" s="195"/>
      <c r="AVR10" s="195"/>
      <c r="AVS10" s="195"/>
      <c r="AVT10" s="195"/>
      <c r="AVU10" s="195"/>
      <c r="AVV10" s="195"/>
      <c r="AVW10" s="195"/>
      <c r="AVX10" s="195"/>
      <c r="AVY10" s="195"/>
      <c r="AVZ10" s="195"/>
      <c r="AWA10" s="195"/>
      <c r="AWB10" s="195"/>
      <c r="AWC10" s="195"/>
      <c r="AWD10" s="195"/>
      <c r="AWE10" s="195"/>
      <c r="AWF10" s="195"/>
      <c r="AWG10" s="195"/>
      <c r="AWH10" s="195"/>
      <c r="AWI10" s="195"/>
      <c r="AWJ10" s="195"/>
      <c r="AWK10" s="195"/>
      <c r="AWL10" s="195"/>
      <c r="AWM10" s="195"/>
      <c r="AWN10" s="195"/>
      <c r="AWO10" s="195"/>
      <c r="AWP10" s="195"/>
      <c r="AWQ10" s="195"/>
      <c r="AWR10" s="195"/>
      <c r="AWS10" s="195"/>
      <c r="AWT10" s="195"/>
      <c r="AWU10" s="195"/>
      <c r="AWV10" s="195"/>
      <c r="AWW10" s="195"/>
      <c r="AWX10" s="195"/>
      <c r="AWY10" s="195"/>
      <c r="AWZ10" s="195"/>
      <c r="AXA10" s="195"/>
      <c r="AXB10" s="195"/>
      <c r="AXC10" s="195"/>
      <c r="AXD10" s="195"/>
      <c r="AXE10" s="195"/>
      <c r="AXF10" s="195"/>
      <c r="AXG10" s="195"/>
      <c r="AXH10" s="195"/>
      <c r="AXI10" s="195"/>
      <c r="AXJ10" s="195"/>
      <c r="AXK10" s="195"/>
      <c r="AXL10" s="195"/>
      <c r="AXM10" s="195"/>
      <c r="AXN10" s="195"/>
      <c r="AXO10" s="195"/>
      <c r="AXP10" s="195"/>
      <c r="AXQ10" s="195"/>
      <c r="AXR10" s="195"/>
      <c r="AXS10" s="195"/>
      <c r="AXT10" s="195"/>
      <c r="AXU10" s="195"/>
      <c r="AXV10" s="195"/>
      <c r="AXW10" s="195"/>
      <c r="AXX10" s="195"/>
      <c r="AXY10" s="195"/>
      <c r="AXZ10" s="195"/>
      <c r="AYA10" s="195"/>
      <c r="AYB10" s="195"/>
      <c r="AYC10" s="195"/>
      <c r="AYD10" s="195"/>
      <c r="AYE10" s="195"/>
      <c r="AYF10" s="195"/>
      <c r="AYG10" s="195"/>
      <c r="AYH10" s="195"/>
      <c r="AYI10" s="195"/>
      <c r="AYJ10" s="195"/>
      <c r="AYK10" s="195"/>
      <c r="AYL10" s="195"/>
      <c r="AYM10" s="195"/>
      <c r="AYN10" s="195"/>
      <c r="AYO10" s="195"/>
      <c r="AYP10" s="195"/>
      <c r="AYQ10" s="195"/>
      <c r="AYR10" s="195"/>
      <c r="AYS10" s="195"/>
      <c r="AYT10" s="195"/>
      <c r="AYU10" s="195"/>
      <c r="AYV10" s="195"/>
      <c r="AYW10" s="195"/>
      <c r="AYX10" s="195"/>
      <c r="AYY10" s="195"/>
      <c r="AYZ10" s="195"/>
      <c r="AZA10" s="195"/>
      <c r="AZB10" s="195"/>
      <c r="AZC10" s="195"/>
      <c r="AZD10" s="195"/>
      <c r="AZE10" s="195"/>
      <c r="AZF10" s="195"/>
      <c r="AZG10" s="195"/>
      <c r="AZH10" s="195"/>
      <c r="AZI10" s="195"/>
      <c r="AZJ10" s="195"/>
      <c r="AZK10" s="195"/>
      <c r="AZL10" s="195"/>
      <c r="AZM10" s="195"/>
      <c r="AZN10" s="195"/>
      <c r="AZO10" s="195"/>
      <c r="AZP10" s="195"/>
      <c r="AZQ10" s="195"/>
      <c r="AZR10" s="195"/>
      <c r="AZS10" s="195"/>
      <c r="AZT10" s="195"/>
      <c r="AZU10" s="195"/>
      <c r="AZV10" s="195"/>
      <c r="AZW10" s="195"/>
      <c r="AZX10" s="195"/>
      <c r="AZY10" s="195"/>
      <c r="AZZ10" s="195"/>
      <c r="BAA10" s="195"/>
      <c r="BAB10" s="195"/>
      <c r="BAC10" s="195"/>
      <c r="BAD10" s="195"/>
      <c r="BAE10" s="195"/>
      <c r="BAF10" s="195"/>
      <c r="BAG10" s="195"/>
      <c r="BAH10" s="195"/>
      <c r="BAI10" s="195"/>
      <c r="BAJ10" s="195"/>
      <c r="BAK10" s="195"/>
      <c r="BAL10" s="195"/>
      <c r="BAM10" s="195"/>
      <c r="BAN10" s="195"/>
      <c r="BAO10" s="195"/>
      <c r="BAP10" s="195"/>
      <c r="BAQ10" s="195"/>
      <c r="BAR10" s="195"/>
      <c r="BAS10" s="195"/>
      <c r="BAT10" s="195"/>
      <c r="BAU10" s="195"/>
      <c r="BAV10" s="195"/>
      <c r="BAW10" s="195"/>
      <c r="BAX10" s="195"/>
      <c r="BAY10" s="195"/>
      <c r="BAZ10" s="195"/>
      <c r="BBA10" s="195"/>
      <c r="BBB10" s="195"/>
      <c r="BBC10" s="195"/>
      <c r="BBD10" s="195"/>
      <c r="BBE10" s="195"/>
      <c r="BBF10" s="195"/>
      <c r="BBG10" s="195"/>
      <c r="BBH10" s="195"/>
      <c r="BBI10" s="195"/>
      <c r="BBJ10" s="195"/>
      <c r="BBK10" s="195"/>
      <c r="BBL10" s="195"/>
      <c r="BBM10" s="195"/>
      <c r="BBN10" s="195"/>
      <c r="BBO10" s="195"/>
      <c r="BBP10" s="195"/>
      <c r="BBQ10" s="195"/>
      <c r="BBR10" s="195"/>
      <c r="BBS10" s="195"/>
      <c r="BBT10" s="195"/>
      <c r="BBU10" s="195"/>
      <c r="BBV10" s="195"/>
      <c r="BBW10" s="195"/>
      <c r="BBX10" s="195"/>
      <c r="BBY10" s="195"/>
      <c r="BBZ10" s="195"/>
      <c r="BCA10" s="195"/>
      <c r="BCB10" s="195"/>
      <c r="BCC10" s="195"/>
      <c r="BCD10" s="195"/>
      <c r="BCE10" s="195"/>
      <c r="BCF10" s="195"/>
      <c r="BCG10" s="195"/>
      <c r="BCH10" s="195"/>
      <c r="BCI10" s="195"/>
      <c r="BCJ10" s="195"/>
      <c r="BCK10" s="195"/>
      <c r="BCL10" s="195"/>
      <c r="BCM10" s="195"/>
      <c r="BCN10" s="195"/>
      <c r="BCO10" s="195"/>
      <c r="BCP10" s="195"/>
      <c r="BCQ10" s="195"/>
      <c r="BCR10" s="195"/>
      <c r="BCS10" s="195"/>
      <c r="BCT10" s="195"/>
      <c r="BCU10" s="195"/>
      <c r="BCV10" s="195"/>
      <c r="BCW10" s="195"/>
      <c r="BCX10" s="195"/>
      <c r="BCY10" s="195"/>
      <c r="BCZ10" s="195"/>
      <c r="BDA10" s="195"/>
      <c r="BDB10" s="195"/>
      <c r="BDC10" s="195"/>
      <c r="BDD10" s="195"/>
      <c r="BDE10" s="195"/>
      <c r="BDF10" s="195"/>
      <c r="BDG10" s="195"/>
      <c r="BDH10" s="195"/>
      <c r="BDI10" s="195"/>
      <c r="BDJ10" s="195"/>
      <c r="BDK10" s="195"/>
      <c r="BDL10" s="195"/>
      <c r="BDM10" s="195"/>
      <c r="BDN10" s="195"/>
      <c r="BDO10" s="195"/>
      <c r="BDP10" s="195"/>
      <c r="BDQ10" s="195"/>
      <c r="BDR10" s="195"/>
      <c r="BDS10" s="195"/>
      <c r="BDT10" s="195"/>
      <c r="BDU10" s="195"/>
      <c r="BDV10" s="195"/>
      <c r="BDW10" s="195"/>
      <c r="BDX10" s="195"/>
      <c r="BDY10" s="195"/>
      <c r="BDZ10" s="195"/>
      <c r="BEA10" s="195"/>
      <c r="BEB10" s="195"/>
      <c r="BEC10" s="195"/>
      <c r="BED10" s="195"/>
      <c r="BEE10" s="195"/>
      <c r="BEF10" s="195"/>
      <c r="BEG10" s="195"/>
      <c r="BEH10" s="195"/>
      <c r="BEI10" s="195"/>
      <c r="BEJ10" s="195"/>
      <c r="BEK10" s="195"/>
      <c r="BEL10" s="195"/>
      <c r="BEM10" s="195"/>
      <c r="BEN10" s="195"/>
      <c r="BEO10" s="195"/>
      <c r="BEP10" s="195"/>
      <c r="BEQ10" s="195"/>
      <c r="BER10" s="195"/>
      <c r="BES10" s="195"/>
      <c r="BET10" s="195"/>
      <c r="BEU10" s="195"/>
      <c r="BEV10" s="195"/>
      <c r="BEW10" s="195"/>
      <c r="BEX10" s="195"/>
      <c r="BEY10" s="195"/>
      <c r="BEZ10" s="195"/>
      <c r="BFA10" s="195"/>
      <c r="BFB10" s="195"/>
      <c r="BFC10" s="195"/>
      <c r="BFD10" s="195"/>
      <c r="BFE10" s="195"/>
      <c r="BFF10" s="195"/>
      <c r="BFG10" s="195"/>
      <c r="BFH10" s="195"/>
      <c r="BFI10" s="195"/>
      <c r="BFJ10" s="195"/>
      <c r="BFK10" s="195"/>
      <c r="BFL10" s="195"/>
      <c r="BFM10" s="195"/>
      <c r="BFN10" s="195"/>
      <c r="BFO10" s="195"/>
      <c r="BFP10" s="195"/>
      <c r="BFQ10" s="195"/>
      <c r="BFR10" s="195"/>
      <c r="BFS10" s="195"/>
      <c r="BFT10" s="195"/>
      <c r="BFU10" s="195"/>
      <c r="BFV10" s="195"/>
      <c r="BFW10" s="195"/>
      <c r="BFX10" s="195"/>
      <c r="BFY10" s="195"/>
      <c r="BFZ10" s="195"/>
      <c r="BGA10" s="195"/>
      <c r="BGB10" s="195"/>
      <c r="BGC10" s="195"/>
      <c r="BGD10" s="195"/>
      <c r="BGE10" s="195"/>
      <c r="BGF10" s="195"/>
      <c r="BGG10" s="195"/>
      <c r="BGH10" s="195"/>
      <c r="BGI10" s="195"/>
      <c r="BGJ10" s="195"/>
      <c r="BGK10" s="195"/>
      <c r="BGL10" s="195"/>
      <c r="BGM10" s="195"/>
      <c r="BGN10" s="195"/>
      <c r="BGO10" s="195"/>
      <c r="BGP10" s="195"/>
      <c r="BGQ10" s="195"/>
      <c r="BGR10" s="195"/>
      <c r="BGS10" s="195"/>
      <c r="BGT10" s="195"/>
      <c r="BGU10" s="195"/>
      <c r="BGV10" s="195"/>
      <c r="BGW10" s="195"/>
      <c r="BGX10" s="195"/>
      <c r="BGY10" s="195"/>
      <c r="BGZ10" s="195"/>
      <c r="BHA10" s="195"/>
      <c r="BHB10" s="195"/>
      <c r="BHC10" s="195"/>
      <c r="BHD10" s="195"/>
      <c r="BHE10" s="195"/>
      <c r="BHF10" s="195"/>
      <c r="BHG10" s="195"/>
      <c r="BHH10" s="195"/>
      <c r="BHI10" s="195"/>
      <c r="BHJ10" s="195"/>
      <c r="BHK10" s="195"/>
      <c r="BHL10" s="195"/>
      <c r="BHM10" s="195"/>
      <c r="BHN10" s="195"/>
      <c r="BHO10" s="195"/>
      <c r="BHP10" s="195"/>
      <c r="BHQ10" s="195"/>
      <c r="BHR10" s="195"/>
      <c r="BHS10" s="195"/>
      <c r="BHT10" s="195"/>
      <c r="BHU10" s="195"/>
      <c r="BHV10" s="195"/>
      <c r="BHW10" s="195"/>
      <c r="BHX10" s="195"/>
      <c r="BHY10" s="195"/>
      <c r="BHZ10" s="195"/>
      <c r="BIA10" s="195"/>
      <c r="BIB10" s="195"/>
      <c r="BIC10" s="195"/>
      <c r="BID10" s="195"/>
      <c r="BIE10" s="195"/>
      <c r="BIF10" s="195"/>
      <c r="BIG10" s="195"/>
      <c r="BIH10" s="195"/>
      <c r="BII10" s="195"/>
      <c r="BIJ10" s="195"/>
      <c r="BIK10" s="195"/>
      <c r="BIL10" s="195"/>
      <c r="BIM10" s="195"/>
      <c r="BIN10" s="195"/>
      <c r="BIO10" s="195"/>
      <c r="BIP10" s="195"/>
      <c r="BIQ10" s="195"/>
      <c r="BIR10" s="195"/>
      <c r="BIS10" s="195"/>
      <c r="BIT10" s="195"/>
      <c r="BIU10" s="195"/>
      <c r="BIV10" s="195"/>
      <c r="BIW10" s="195"/>
      <c r="BIX10" s="195"/>
      <c r="BIY10" s="195"/>
      <c r="BIZ10" s="195"/>
      <c r="BJA10" s="195"/>
      <c r="BJB10" s="195"/>
      <c r="BJC10" s="195"/>
      <c r="BJD10" s="195"/>
      <c r="BJE10" s="195"/>
      <c r="BJF10" s="195"/>
      <c r="BJG10" s="195"/>
      <c r="BJH10" s="195"/>
      <c r="BJI10" s="195"/>
      <c r="BJJ10" s="195"/>
      <c r="BJK10" s="195"/>
      <c r="BJL10" s="195"/>
      <c r="BJM10" s="195"/>
      <c r="BJN10" s="195"/>
      <c r="BJO10" s="195"/>
      <c r="BJP10" s="195"/>
      <c r="BJQ10" s="195"/>
      <c r="BJR10" s="195"/>
      <c r="BJS10" s="195"/>
      <c r="BJT10" s="195"/>
      <c r="BJU10" s="195"/>
      <c r="BJV10" s="195"/>
      <c r="BJW10" s="195"/>
      <c r="BJX10" s="195"/>
      <c r="BJY10" s="195"/>
      <c r="BJZ10" s="195"/>
      <c r="BKA10" s="195"/>
      <c r="BKB10" s="195"/>
      <c r="BKC10" s="195"/>
      <c r="BKD10" s="195"/>
      <c r="BKE10" s="195"/>
      <c r="BKF10" s="195"/>
      <c r="BKG10" s="195"/>
      <c r="BKH10" s="195"/>
      <c r="BKI10" s="195"/>
      <c r="BKJ10" s="195"/>
      <c r="BKK10" s="195"/>
      <c r="BKL10" s="195"/>
      <c r="BKM10" s="195"/>
      <c r="BKN10" s="195"/>
      <c r="BKO10" s="195"/>
      <c r="BKP10" s="195"/>
      <c r="BKQ10" s="195"/>
      <c r="BKR10" s="195"/>
      <c r="BKS10" s="195"/>
      <c r="BKT10" s="195"/>
      <c r="BKU10" s="195"/>
      <c r="BKV10" s="195"/>
      <c r="BKW10" s="195"/>
      <c r="BKX10" s="195"/>
      <c r="BKY10" s="195"/>
      <c r="BKZ10" s="195"/>
      <c r="BLA10" s="195"/>
      <c r="BLB10" s="195"/>
      <c r="BLC10" s="195"/>
      <c r="BLD10" s="195"/>
      <c r="BLE10" s="195"/>
      <c r="BLF10" s="195"/>
      <c r="BLG10" s="195"/>
      <c r="BLH10" s="195"/>
      <c r="BLI10" s="195"/>
      <c r="BLJ10" s="195"/>
      <c r="BLK10" s="195"/>
      <c r="BLL10" s="195"/>
      <c r="BLM10" s="195"/>
      <c r="BLN10" s="195"/>
      <c r="BLO10" s="195"/>
      <c r="BLP10" s="195"/>
      <c r="BLQ10" s="195"/>
      <c r="BLR10" s="195"/>
      <c r="BLS10" s="195"/>
      <c r="BLT10" s="195"/>
      <c r="BLU10" s="195"/>
      <c r="BLV10" s="195"/>
      <c r="BLW10" s="195"/>
      <c r="BLX10" s="195"/>
      <c r="BLY10" s="195"/>
      <c r="BLZ10" s="195"/>
      <c r="BMA10" s="195"/>
      <c r="BMB10" s="195"/>
      <c r="BMC10" s="195"/>
      <c r="BMD10" s="195"/>
      <c r="BME10" s="195"/>
      <c r="BMF10" s="195"/>
      <c r="BMG10" s="195"/>
      <c r="BMH10" s="195"/>
      <c r="BMI10" s="195"/>
      <c r="BMJ10" s="195"/>
      <c r="BMK10" s="195"/>
      <c r="BML10" s="195"/>
      <c r="BMM10" s="195"/>
      <c r="BMN10" s="195"/>
      <c r="BMO10" s="195"/>
      <c r="BMP10" s="195"/>
      <c r="BMQ10" s="195"/>
      <c r="BMR10" s="195"/>
      <c r="BMS10" s="195"/>
      <c r="BMT10" s="195"/>
      <c r="BMU10" s="195"/>
      <c r="BMV10" s="195"/>
      <c r="BMW10" s="195"/>
      <c r="BMX10" s="195"/>
      <c r="BMY10" s="195"/>
      <c r="BMZ10" s="195"/>
      <c r="BNA10" s="195"/>
      <c r="BNB10" s="195"/>
      <c r="BNC10" s="195"/>
      <c r="BND10" s="195"/>
      <c r="BNE10" s="195"/>
      <c r="BNF10" s="195"/>
      <c r="BNG10" s="195"/>
      <c r="BNH10" s="195"/>
      <c r="BNI10" s="195"/>
      <c r="BNJ10" s="195"/>
      <c r="BNK10" s="195"/>
      <c r="BNL10" s="195"/>
      <c r="BNM10" s="195"/>
      <c r="BNN10" s="195"/>
      <c r="BNO10" s="195"/>
      <c r="BNP10" s="195"/>
      <c r="BNQ10" s="195"/>
      <c r="BNR10" s="195"/>
      <c r="BNS10" s="195"/>
      <c r="BNT10" s="195"/>
      <c r="BNU10" s="195"/>
      <c r="BNV10" s="195"/>
      <c r="BNW10" s="195"/>
      <c r="BNX10" s="195"/>
      <c r="BNY10" s="195"/>
      <c r="BNZ10" s="195"/>
      <c r="BOA10" s="195"/>
      <c r="BOB10" s="195"/>
      <c r="BOC10" s="195"/>
      <c r="BOD10" s="90"/>
    </row>
    <row r="11" spans="1:1746" ht="20.100000000000001" customHeight="1" x14ac:dyDescent="0.25">
      <c r="B11" s="96"/>
      <c r="C11" s="223"/>
      <c r="D11" s="223"/>
      <c r="E11" s="223"/>
      <c r="F11" s="219" t="s">
        <v>114</v>
      </c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 t="s">
        <v>114</v>
      </c>
      <c r="BO11" s="219"/>
      <c r="BP11" s="219"/>
      <c r="BQ11" s="219"/>
      <c r="BR11" s="219"/>
      <c r="BS11" s="219"/>
      <c r="BT11" s="219"/>
      <c r="BU11" s="219"/>
      <c r="BV11" s="219"/>
      <c r="BW11" s="219"/>
      <c r="BX11" s="219"/>
      <c r="BY11" s="219"/>
      <c r="BZ11" s="219"/>
      <c r="CA11" s="219"/>
      <c r="CB11" s="219"/>
      <c r="CC11" s="219"/>
      <c r="CD11" s="219"/>
      <c r="CE11" s="219"/>
      <c r="CF11" s="219"/>
      <c r="CG11" s="219"/>
      <c r="CH11" s="219"/>
      <c r="CI11" s="219"/>
      <c r="CJ11" s="219"/>
      <c r="CK11" s="219"/>
      <c r="CL11" s="219"/>
      <c r="CM11" s="219"/>
      <c r="CN11" s="219"/>
      <c r="CO11" s="219"/>
      <c r="CP11" s="219"/>
      <c r="CQ11" s="219"/>
      <c r="CR11" s="219"/>
      <c r="CS11" s="219"/>
      <c r="CT11" s="219"/>
      <c r="CU11" s="219"/>
      <c r="CV11" s="219"/>
      <c r="CW11" s="219"/>
      <c r="CX11" s="219"/>
      <c r="CY11" s="219"/>
      <c r="CZ11" s="219"/>
      <c r="DA11" s="219"/>
      <c r="DB11" s="219"/>
      <c r="DC11" s="219"/>
      <c r="DD11" s="219"/>
      <c r="DE11" s="219"/>
      <c r="DF11" s="219"/>
      <c r="DG11" s="219"/>
      <c r="DH11" s="219"/>
      <c r="DI11" s="219"/>
      <c r="DJ11" s="219"/>
      <c r="DK11" s="219"/>
      <c r="DL11" s="219"/>
      <c r="DM11" s="219"/>
      <c r="DN11" s="219"/>
      <c r="DO11" s="219"/>
      <c r="DP11" s="219"/>
      <c r="DQ11" s="219"/>
      <c r="DR11" s="219"/>
      <c r="DS11" s="219"/>
      <c r="DT11" s="219"/>
      <c r="DU11" s="219"/>
      <c r="DV11" s="196" t="s">
        <v>113</v>
      </c>
      <c r="DW11" s="196"/>
      <c r="DX11" s="196"/>
      <c r="DY11" s="196"/>
      <c r="DZ11" s="196"/>
      <c r="EA11" s="196"/>
      <c r="EB11" s="196"/>
      <c r="EC11" s="196"/>
      <c r="ED11" s="196"/>
      <c r="EE11" s="196"/>
      <c r="EF11" s="196"/>
      <c r="EG11" s="196"/>
      <c r="EH11" s="196"/>
      <c r="EI11" s="196"/>
      <c r="EJ11" s="196"/>
      <c r="EK11" s="196"/>
      <c r="EL11" s="196"/>
      <c r="EM11" s="196"/>
      <c r="EN11" s="196"/>
      <c r="EO11" s="196"/>
      <c r="EP11" s="196"/>
      <c r="EQ11" s="196"/>
      <c r="ER11" s="196"/>
      <c r="ES11" s="196"/>
      <c r="ET11" s="196"/>
      <c r="EU11" s="196"/>
      <c r="EV11" s="196"/>
      <c r="EW11" s="196"/>
      <c r="EX11" s="196"/>
      <c r="EY11" s="196"/>
      <c r="EZ11" s="196"/>
      <c r="FA11" s="196"/>
      <c r="FB11" s="196"/>
      <c r="FC11" s="196"/>
      <c r="FD11" s="196"/>
      <c r="FE11" s="196"/>
      <c r="FF11" s="196"/>
      <c r="FG11" s="196"/>
      <c r="FH11" s="196"/>
      <c r="FI11" s="196"/>
      <c r="FJ11" s="196"/>
      <c r="FK11" s="196"/>
      <c r="FL11" s="196"/>
      <c r="FM11" s="196"/>
      <c r="FN11" s="196"/>
      <c r="FO11" s="196"/>
      <c r="FP11" s="196"/>
      <c r="FQ11" s="196"/>
      <c r="FR11" s="196"/>
      <c r="FS11" s="196"/>
      <c r="FT11" s="196"/>
      <c r="FU11" s="196"/>
      <c r="FV11" s="196"/>
      <c r="FW11" s="196"/>
      <c r="FX11" s="196"/>
      <c r="FY11" s="196"/>
      <c r="FZ11" s="196"/>
      <c r="GA11" s="196"/>
      <c r="GB11" s="196"/>
      <c r="GC11" s="196"/>
      <c r="GD11" s="196" t="s">
        <v>113</v>
      </c>
      <c r="GE11" s="196"/>
      <c r="GF11" s="196"/>
      <c r="GG11" s="196"/>
      <c r="GH11" s="196"/>
      <c r="GI11" s="196"/>
      <c r="GJ11" s="196"/>
      <c r="GK11" s="196"/>
      <c r="GL11" s="196"/>
      <c r="GM11" s="196"/>
      <c r="GN11" s="196"/>
      <c r="GO11" s="196"/>
      <c r="GP11" s="196"/>
      <c r="GQ11" s="196"/>
      <c r="GR11" s="196"/>
      <c r="GS11" s="196"/>
      <c r="GT11" s="196"/>
      <c r="GU11" s="196"/>
      <c r="GV11" s="196"/>
      <c r="GW11" s="196"/>
      <c r="GX11" s="196"/>
      <c r="GY11" s="196"/>
      <c r="GZ11" s="196"/>
      <c r="HA11" s="196"/>
      <c r="HB11" s="196"/>
      <c r="HC11" s="196"/>
      <c r="HD11" s="196"/>
      <c r="HE11" s="196"/>
      <c r="HF11" s="196"/>
      <c r="HG11" s="196"/>
      <c r="HH11" s="196"/>
      <c r="HI11" s="196"/>
      <c r="HJ11" s="196"/>
      <c r="HK11" s="196"/>
      <c r="HL11" s="196"/>
      <c r="HM11" s="196"/>
      <c r="HN11" s="196"/>
      <c r="HO11" s="196"/>
      <c r="HP11" s="196"/>
      <c r="HQ11" s="196"/>
      <c r="HR11" s="196"/>
      <c r="HS11" s="196"/>
      <c r="HT11" s="196"/>
      <c r="HU11" s="196"/>
      <c r="HV11" s="196"/>
      <c r="HW11" s="196"/>
      <c r="HX11" s="196"/>
      <c r="HY11" s="196"/>
      <c r="HZ11" s="196"/>
      <c r="IA11" s="196"/>
      <c r="IB11" s="196"/>
      <c r="IC11" s="196"/>
      <c r="ID11" s="196"/>
      <c r="IE11" s="196"/>
      <c r="IF11" s="196"/>
      <c r="IG11" s="196"/>
      <c r="IH11" s="196"/>
      <c r="II11" s="196"/>
      <c r="IJ11" s="196"/>
      <c r="IK11" s="196"/>
      <c r="IL11" s="196" t="s">
        <v>111</v>
      </c>
      <c r="IM11" s="196"/>
      <c r="IN11" s="196"/>
      <c r="IO11" s="196"/>
      <c r="IP11" s="196"/>
      <c r="IQ11" s="196"/>
      <c r="IR11" s="196"/>
      <c r="IS11" s="196"/>
      <c r="IT11" s="196"/>
      <c r="IU11" s="196"/>
      <c r="IV11" s="196"/>
      <c r="IW11" s="196"/>
      <c r="IX11" s="196"/>
      <c r="IY11" s="196"/>
      <c r="IZ11" s="196"/>
      <c r="JA11" s="196"/>
      <c r="JB11" s="196"/>
      <c r="JC11" s="196"/>
      <c r="JD11" s="196"/>
      <c r="JE11" s="196"/>
      <c r="JF11" s="196"/>
      <c r="JG11" s="196"/>
      <c r="JH11" s="196"/>
      <c r="JI11" s="196"/>
      <c r="JJ11" s="196"/>
      <c r="JK11" s="196"/>
      <c r="JL11" s="196"/>
      <c r="JM11" s="196"/>
      <c r="JN11" s="196"/>
      <c r="JO11" s="196"/>
      <c r="JP11" s="196"/>
      <c r="JQ11" s="196"/>
      <c r="JR11" s="196"/>
      <c r="JS11" s="196"/>
      <c r="JT11" s="196"/>
      <c r="JU11" s="196"/>
      <c r="JV11" s="196"/>
      <c r="JW11" s="196"/>
      <c r="JX11" s="196"/>
      <c r="JY11" s="196"/>
      <c r="JZ11" s="196"/>
      <c r="KA11" s="196"/>
      <c r="KB11" s="196"/>
      <c r="KC11" s="196"/>
      <c r="KD11" s="196"/>
      <c r="KE11" s="196"/>
      <c r="KF11" s="196"/>
      <c r="KG11" s="196"/>
      <c r="KH11" s="196"/>
      <c r="KI11" s="196"/>
      <c r="KJ11" s="196"/>
      <c r="KK11" s="196"/>
      <c r="KL11" s="196"/>
      <c r="KM11" s="196"/>
      <c r="KN11" s="196"/>
      <c r="KO11" s="196"/>
      <c r="KP11" s="196"/>
      <c r="KQ11" s="196"/>
      <c r="KR11" s="196"/>
      <c r="KS11" s="196"/>
      <c r="KT11" s="196" t="s">
        <v>108</v>
      </c>
      <c r="KU11" s="196"/>
      <c r="KV11" s="196"/>
      <c r="KW11" s="196"/>
      <c r="KX11" s="196"/>
      <c r="KY11" s="196"/>
      <c r="KZ11" s="196"/>
      <c r="LA11" s="196"/>
      <c r="LB11" s="196"/>
      <c r="LC11" s="196"/>
      <c r="LD11" s="196"/>
      <c r="LE11" s="196"/>
      <c r="LF11" s="196"/>
      <c r="LG11" s="196"/>
      <c r="LH11" s="196"/>
      <c r="LI11" s="196"/>
      <c r="LJ11" s="196"/>
      <c r="LK11" s="196"/>
      <c r="LL11" s="196"/>
      <c r="LM11" s="196"/>
      <c r="LN11" s="196"/>
      <c r="LO11" s="196"/>
      <c r="LP11" s="196"/>
      <c r="LQ11" s="196"/>
      <c r="LR11" s="196"/>
      <c r="LS11" s="196"/>
      <c r="LT11" s="196"/>
      <c r="LU11" s="196"/>
      <c r="LV11" s="196"/>
      <c r="LW11" s="196"/>
      <c r="LX11" s="196"/>
      <c r="LY11" s="196"/>
      <c r="LZ11" s="196"/>
      <c r="MA11" s="196"/>
      <c r="MB11" s="196"/>
      <c r="MC11" s="196"/>
      <c r="MD11" s="196"/>
      <c r="ME11" s="196"/>
      <c r="MF11" s="196"/>
      <c r="MG11" s="196"/>
      <c r="MH11" s="196"/>
      <c r="MI11" s="196"/>
      <c r="MJ11" s="196"/>
      <c r="MK11" s="196"/>
      <c r="ML11" s="196"/>
      <c r="MM11" s="196"/>
      <c r="MN11" s="196"/>
      <c r="MO11" s="196"/>
      <c r="MP11" s="196"/>
      <c r="MQ11" s="196"/>
      <c r="MR11" s="196"/>
      <c r="MS11" s="196"/>
      <c r="MT11" s="196"/>
      <c r="MU11" s="196"/>
      <c r="MV11" s="196"/>
      <c r="MW11" s="196"/>
      <c r="MX11" s="196"/>
      <c r="MY11" s="196"/>
      <c r="MZ11" s="196"/>
      <c r="NA11" s="196"/>
      <c r="NB11" s="196" t="s">
        <v>108</v>
      </c>
      <c r="NC11" s="196"/>
      <c r="ND11" s="196"/>
      <c r="NE11" s="196"/>
      <c r="NF11" s="196"/>
      <c r="NG11" s="196"/>
      <c r="NH11" s="196"/>
      <c r="NI11" s="196"/>
      <c r="NJ11" s="196"/>
      <c r="NK11" s="196"/>
      <c r="NL11" s="196"/>
      <c r="NM11" s="196"/>
      <c r="NN11" s="196"/>
      <c r="NO11" s="196"/>
      <c r="NP11" s="196"/>
      <c r="NQ11" s="196"/>
      <c r="NR11" s="196"/>
      <c r="NS11" s="196"/>
      <c r="NT11" s="196"/>
      <c r="NU11" s="196"/>
      <c r="NV11" s="196"/>
      <c r="NW11" s="196"/>
      <c r="NX11" s="196"/>
      <c r="NY11" s="196"/>
      <c r="NZ11" s="196"/>
      <c r="OA11" s="196"/>
      <c r="OB11" s="196"/>
      <c r="OC11" s="196"/>
      <c r="OD11" s="196"/>
      <c r="OE11" s="196"/>
      <c r="OF11" s="196"/>
      <c r="OG11" s="196"/>
      <c r="OH11" s="196"/>
      <c r="OI11" s="196"/>
      <c r="OJ11" s="196"/>
      <c r="OK11" s="196"/>
      <c r="OL11" s="196"/>
      <c r="OM11" s="196"/>
      <c r="ON11" s="196"/>
      <c r="OO11" s="196"/>
      <c r="OP11" s="196"/>
      <c r="OQ11" s="196"/>
      <c r="OR11" s="196"/>
      <c r="OS11" s="196"/>
      <c r="OT11" s="196"/>
      <c r="OU11" s="196"/>
      <c r="OV11" s="196"/>
      <c r="OW11" s="196"/>
      <c r="OX11" s="196"/>
      <c r="OY11" s="196"/>
      <c r="OZ11" s="196"/>
      <c r="PA11" s="196"/>
      <c r="PB11" s="196"/>
      <c r="PC11" s="196"/>
      <c r="PD11" s="196"/>
      <c r="PE11" s="196"/>
      <c r="PF11" s="196"/>
      <c r="PG11" s="196"/>
      <c r="PH11" s="196"/>
      <c r="PI11" s="196"/>
      <c r="PJ11" s="196" t="s">
        <v>105</v>
      </c>
      <c r="PK11" s="196"/>
      <c r="PL11" s="196"/>
      <c r="PM11" s="196"/>
      <c r="PN11" s="196"/>
      <c r="PO11" s="196"/>
      <c r="PP11" s="196"/>
      <c r="PQ11" s="196"/>
      <c r="PR11" s="196"/>
      <c r="PS11" s="196"/>
      <c r="PT11" s="196"/>
      <c r="PU11" s="196"/>
      <c r="PV11" s="196"/>
      <c r="PW11" s="196"/>
      <c r="PX11" s="196"/>
      <c r="PY11" s="196"/>
      <c r="PZ11" s="196"/>
      <c r="QA11" s="196"/>
      <c r="QB11" s="196"/>
      <c r="QC11" s="196"/>
      <c r="QD11" s="196"/>
      <c r="QE11" s="196"/>
      <c r="QF11" s="196"/>
      <c r="QG11" s="196"/>
      <c r="QH11" s="196"/>
      <c r="QI11" s="196"/>
      <c r="QJ11" s="196"/>
      <c r="QK11" s="196"/>
      <c r="QL11" s="196"/>
      <c r="QM11" s="196"/>
      <c r="QN11" s="196"/>
      <c r="QO11" s="196"/>
      <c r="QP11" s="196"/>
      <c r="QQ11" s="196"/>
      <c r="QR11" s="196"/>
      <c r="QS11" s="196"/>
      <c r="QT11" s="196"/>
      <c r="QU11" s="196"/>
      <c r="QV11" s="196"/>
      <c r="QW11" s="196"/>
      <c r="QX11" s="196"/>
      <c r="QY11" s="196"/>
      <c r="QZ11" s="196"/>
      <c r="RA11" s="196"/>
      <c r="RB11" s="196"/>
      <c r="RC11" s="196"/>
      <c r="RD11" s="196"/>
      <c r="RE11" s="196"/>
      <c r="RF11" s="196"/>
      <c r="RG11" s="196"/>
      <c r="RH11" s="196"/>
      <c r="RI11" s="196"/>
      <c r="RJ11" s="196"/>
      <c r="RK11" s="196"/>
      <c r="RL11" s="196"/>
      <c r="RM11" s="196"/>
      <c r="RN11" s="196"/>
      <c r="RO11" s="196"/>
      <c r="RP11" s="196"/>
      <c r="RQ11" s="196"/>
      <c r="RR11" s="196" t="s">
        <v>105</v>
      </c>
      <c r="RS11" s="196"/>
      <c r="RT11" s="196"/>
      <c r="RU11" s="196"/>
      <c r="RV11" s="196"/>
      <c r="RW11" s="196"/>
      <c r="RX11" s="196"/>
      <c r="RY11" s="196"/>
      <c r="RZ11" s="196"/>
      <c r="SA11" s="196"/>
      <c r="SB11" s="196"/>
      <c r="SC11" s="196"/>
      <c r="SD11" s="196"/>
      <c r="SE11" s="196"/>
      <c r="SF11" s="196"/>
      <c r="SG11" s="196"/>
      <c r="SH11" s="196"/>
      <c r="SI11" s="196"/>
      <c r="SJ11" s="196"/>
      <c r="SK11" s="196"/>
      <c r="SL11" s="196"/>
      <c r="SM11" s="196"/>
      <c r="SN11" s="196"/>
      <c r="SO11" s="196"/>
      <c r="SP11" s="196"/>
      <c r="SQ11" s="196"/>
      <c r="SR11" s="196"/>
      <c r="SS11" s="196"/>
      <c r="ST11" s="196"/>
      <c r="SU11" s="196"/>
      <c r="SV11" s="196"/>
      <c r="SW11" s="196"/>
      <c r="SX11" s="196"/>
      <c r="SY11" s="196"/>
      <c r="SZ11" s="196"/>
      <c r="TA11" s="196"/>
      <c r="TB11" s="196"/>
      <c r="TC11" s="196"/>
      <c r="TD11" s="196"/>
      <c r="TE11" s="196"/>
      <c r="TF11" s="196"/>
      <c r="TG11" s="196"/>
      <c r="TH11" s="196"/>
      <c r="TI11" s="196"/>
      <c r="TJ11" s="196"/>
      <c r="TK11" s="196"/>
      <c r="TL11" s="196"/>
      <c r="TM11" s="196"/>
      <c r="TN11" s="196"/>
      <c r="TO11" s="196"/>
      <c r="TP11" s="196"/>
      <c r="TQ11" s="196"/>
      <c r="TR11" s="196"/>
      <c r="TS11" s="196"/>
      <c r="TT11" s="196"/>
      <c r="TU11" s="196"/>
      <c r="TV11" s="196"/>
      <c r="TW11" s="196"/>
      <c r="TX11" s="196"/>
      <c r="TY11" s="196"/>
      <c r="TZ11" s="196" t="s">
        <v>102</v>
      </c>
      <c r="UA11" s="196"/>
      <c r="UB11" s="196"/>
      <c r="UC11" s="196"/>
      <c r="UD11" s="196"/>
      <c r="UE11" s="196"/>
      <c r="UF11" s="196"/>
      <c r="UG11" s="196"/>
      <c r="UH11" s="196"/>
      <c r="UI11" s="196"/>
      <c r="UJ11" s="196"/>
      <c r="UK11" s="196"/>
      <c r="UL11" s="196"/>
      <c r="UM11" s="196"/>
      <c r="UN11" s="196"/>
      <c r="UO11" s="196"/>
      <c r="UP11" s="196"/>
      <c r="UQ11" s="196"/>
      <c r="UR11" s="196"/>
      <c r="US11" s="196"/>
      <c r="UT11" s="196"/>
      <c r="UU11" s="196"/>
      <c r="UV11" s="196"/>
      <c r="UW11" s="196"/>
      <c r="UX11" s="196"/>
      <c r="UY11" s="196"/>
      <c r="UZ11" s="196"/>
      <c r="VA11" s="196"/>
      <c r="VB11" s="196"/>
      <c r="VC11" s="196"/>
      <c r="VD11" s="196"/>
      <c r="VE11" s="196"/>
      <c r="VF11" s="196"/>
      <c r="VG11" s="196"/>
      <c r="VH11" s="196"/>
      <c r="VI11" s="196"/>
      <c r="VJ11" s="196"/>
      <c r="VK11" s="196"/>
      <c r="VL11" s="196"/>
      <c r="VM11" s="196"/>
      <c r="VN11" s="196"/>
      <c r="VO11" s="196"/>
      <c r="VP11" s="196"/>
      <c r="VQ11" s="196"/>
      <c r="VR11" s="196"/>
      <c r="VS11" s="196"/>
      <c r="VT11" s="196"/>
      <c r="VU11" s="196"/>
      <c r="VV11" s="196"/>
      <c r="VW11" s="196"/>
      <c r="VX11" s="196"/>
      <c r="VY11" s="196"/>
      <c r="VZ11" s="196"/>
      <c r="WA11" s="196"/>
      <c r="WB11" s="196"/>
      <c r="WC11" s="196"/>
      <c r="WD11" s="196"/>
      <c r="WE11" s="196"/>
      <c r="WF11" s="196"/>
      <c r="WG11" s="196"/>
      <c r="WH11" s="196" t="s">
        <v>102</v>
      </c>
      <c r="WI11" s="196"/>
      <c r="WJ11" s="196"/>
      <c r="WK11" s="196"/>
      <c r="WL11" s="196"/>
      <c r="WM11" s="196"/>
      <c r="WN11" s="196"/>
      <c r="WO11" s="196"/>
      <c r="WP11" s="196"/>
      <c r="WQ11" s="196"/>
      <c r="WR11" s="196"/>
      <c r="WS11" s="196"/>
      <c r="WT11" s="196"/>
      <c r="WU11" s="196"/>
      <c r="WV11" s="196"/>
      <c r="WW11" s="196"/>
      <c r="WX11" s="196"/>
      <c r="WY11" s="196"/>
      <c r="WZ11" s="196"/>
      <c r="XA11" s="196"/>
      <c r="XB11" s="196"/>
      <c r="XC11" s="196"/>
      <c r="XD11" s="196"/>
      <c r="XE11" s="196"/>
      <c r="XF11" s="196"/>
      <c r="XG11" s="196"/>
      <c r="XH11" s="196"/>
      <c r="XI11" s="196"/>
      <c r="XJ11" s="196"/>
      <c r="XK11" s="196"/>
      <c r="XL11" s="196"/>
      <c r="XM11" s="196"/>
      <c r="XN11" s="196"/>
      <c r="XO11" s="196"/>
      <c r="XP11" s="196"/>
      <c r="XQ11" s="196"/>
      <c r="XR11" s="196"/>
      <c r="XS11" s="196"/>
      <c r="XT11" s="196"/>
      <c r="XU11" s="196"/>
      <c r="XV11" s="196"/>
      <c r="XW11" s="196"/>
      <c r="XX11" s="196"/>
      <c r="XY11" s="196"/>
      <c r="XZ11" s="196"/>
      <c r="YA11" s="196"/>
      <c r="YB11" s="196"/>
      <c r="YC11" s="196"/>
      <c r="YD11" s="196"/>
      <c r="YE11" s="196"/>
      <c r="YF11" s="196"/>
      <c r="YG11" s="196"/>
      <c r="YH11" s="196"/>
      <c r="YI11" s="196"/>
      <c r="YJ11" s="196"/>
      <c r="YK11" s="196"/>
      <c r="YL11" s="196"/>
      <c r="YM11" s="196"/>
      <c r="YN11" s="196"/>
      <c r="YO11" s="196"/>
      <c r="YP11" s="196" t="s">
        <v>99</v>
      </c>
      <c r="YQ11" s="196"/>
      <c r="YR11" s="196"/>
      <c r="YS11" s="196"/>
      <c r="YT11" s="196"/>
      <c r="YU11" s="196"/>
      <c r="YV11" s="196"/>
      <c r="YW11" s="196"/>
      <c r="YX11" s="196"/>
      <c r="YY11" s="196"/>
      <c r="YZ11" s="196"/>
      <c r="ZA11" s="196"/>
      <c r="ZB11" s="196"/>
      <c r="ZC11" s="196"/>
      <c r="ZD11" s="196"/>
      <c r="ZE11" s="196"/>
      <c r="ZF11" s="196"/>
      <c r="ZG11" s="196"/>
      <c r="ZH11" s="196"/>
      <c r="ZI11" s="196"/>
      <c r="ZJ11" s="196"/>
      <c r="ZK11" s="196"/>
      <c r="ZL11" s="196"/>
      <c r="ZM11" s="196"/>
      <c r="ZN11" s="196"/>
      <c r="ZO11" s="196"/>
      <c r="ZP11" s="196"/>
      <c r="ZQ11" s="196"/>
      <c r="ZR11" s="196"/>
      <c r="ZS11" s="196"/>
      <c r="ZT11" s="196"/>
      <c r="ZU11" s="196"/>
      <c r="ZV11" s="196"/>
      <c r="ZW11" s="196"/>
      <c r="ZX11" s="196"/>
      <c r="ZY11" s="196"/>
      <c r="ZZ11" s="196"/>
      <c r="AAA11" s="196"/>
      <c r="AAB11" s="196"/>
      <c r="AAC11" s="196"/>
      <c r="AAD11" s="196"/>
      <c r="AAE11" s="196"/>
      <c r="AAF11" s="196"/>
      <c r="AAG11" s="196"/>
      <c r="AAH11" s="196"/>
      <c r="AAI11" s="196"/>
      <c r="AAJ11" s="196"/>
      <c r="AAK11" s="196"/>
      <c r="AAL11" s="196"/>
      <c r="AAM11" s="196"/>
      <c r="AAN11" s="196"/>
      <c r="AAO11" s="196"/>
      <c r="AAP11" s="196"/>
      <c r="AAQ11" s="196"/>
      <c r="AAR11" s="196"/>
      <c r="AAS11" s="196"/>
      <c r="AAT11" s="196"/>
      <c r="AAU11" s="196"/>
      <c r="AAV11" s="196"/>
      <c r="AAW11" s="196"/>
      <c r="AAX11" s="196" t="s">
        <v>99</v>
      </c>
      <c r="AAY11" s="196"/>
      <c r="AAZ11" s="196"/>
      <c r="ABA11" s="196"/>
      <c r="ABB11" s="196"/>
      <c r="ABC11" s="196"/>
      <c r="ABD11" s="196"/>
      <c r="ABE11" s="196"/>
      <c r="ABF11" s="196"/>
      <c r="ABG11" s="196"/>
      <c r="ABH11" s="196"/>
      <c r="ABI11" s="196"/>
      <c r="ABJ11" s="196"/>
      <c r="ABK11" s="196"/>
      <c r="ABL11" s="196"/>
      <c r="ABM11" s="196"/>
      <c r="ABN11" s="196"/>
      <c r="ABO11" s="196"/>
      <c r="ABP11" s="196"/>
      <c r="ABQ11" s="196"/>
      <c r="ABR11" s="196"/>
      <c r="ABS11" s="196"/>
      <c r="ABT11" s="196"/>
      <c r="ABU11" s="196"/>
      <c r="ABV11" s="196"/>
      <c r="ABW11" s="196"/>
      <c r="ABX11" s="196"/>
      <c r="ABY11" s="196"/>
      <c r="ABZ11" s="196"/>
      <c r="ACA11" s="196"/>
      <c r="ACB11" s="196"/>
      <c r="ACC11" s="196"/>
      <c r="ACD11" s="196"/>
      <c r="ACE11" s="196"/>
      <c r="ACF11" s="196"/>
      <c r="ACG11" s="196"/>
      <c r="ACH11" s="196"/>
      <c r="ACI11" s="196"/>
      <c r="ACJ11" s="196"/>
      <c r="ACK11" s="196"/>
      <c r="ACL11" s="196"/>
      <c r="ACM11" s="196"/>
      <c r="ACN11" s="196"/>
      <c r="ACO11" s="196"/>
      <c r="ACP11" s="196"/>
      <c r="ACQ11" s="196"/>
      <c r="ACR11" s="196"/>
      <c r="ACS11" s="196"/>
      <c r="ACT11" s="196"/>
      <c r="ACU11" s="196"/>
      <c r="ACV11" s="196"/>
      <c r="ACW11" s="196"/>
      <c r="ACX11" s="196"/>
      <c r="ACY11" s="196"/>
      <c r="ACZ11" s="196"/>
      <c r="ADA11" s="196"/>
      <c r="ADB11" s="196"/>
      <c r="ADC11" s="196"/>
      <c r="ADD11" s="196"/>
      <c r="ADE11" s="196"/>
      <c r="ADF11" s="196" t="s">
        <v>96</v>
      </c>
      <c r="ADG11" s="196"/>
      <c r="ADH11" s="196"/>
      <c r="ADI11" s="196"/>
      <c r="ADJ11" s="196"/>
      <c r="ADK11" s="196"/>
      <c r="ADL11" s="196"/>
      <c r="ADM11" s="196"/>
      <c r="ADN11" s="196"/>
      <c r="ADO11" s="196"/>
      <c r="ADP11" s="196"/>
      <c r="ADQ11" s="196"/>
      <c r="ADR11" s="196"/>
      <c r="ADS11" s="196"/>
      <c r="ADT11" s="196"/>
      <c r="ADU11" s="196"/>
      <c r="ADV11" s="196"/>
      <c r="ADW11" s="196"/>
      <c r="ADX11" s="196"/>
      <c r="ADY11" s="196"/>
      <c r="ADZ11" s="196"/>
      <c r="AEA11" s="196"/>
      <c r="AEB11" s="196"/>
      <c r="AEC11" s="196"/>
      <c r="AED11" s="196"/>
      <c r="AEE11" s="196"/>
      <c r="AEF11" s="196"/>
      <c r="AEG11" s="196"/>
      <c r="AEH11" s="196"/>
      <c r="AEI11" s="196"/>
      <c r="AEJ11" s="196"/>
      <c r="AEK11" s="196"/>
      <c r="AEL11" s="196"/>
      <c r="AEM11" s="196"/>
      <c r="AEN11" s="196"/>
      <c r="AEO11" s="196"/>
      <c r="AEP11" s="196"/>
      <c r="AEQ11" s="196"/>
      <c r="AER11" s="196"/>
      <c r="AES11" s="196"/>
      <c r="AET11" s="196"/>
      <c r="AEU11" s="196"/>
      <c r="AEV11" s="196"/>
      <c r="AEW11" s="196"/>
      <c r="AEX11" s="196"/>
      <c r="AEY11" s="196"/>
      <c r="AEZ11" s="196"/>
      <c r="AFA11" s="196"/>
      <c r="AFB11" s="196"/>
      <c r="AFC11" s="196"/>
      <c r="AFD11" s="196"/>
      <c r="AFE11" s="196"/>
      <c r="AFF11" s="196"/>
      <c r="AFG11" s="196"/>
      <c r="AFH11" s="196"/>
      <c r="AFI11" s="196"/>
      <c r="AFJ11" s="196"/>
      <c r="AFK11" s="196"/>
      <c r="AFL11" s="196"/>
      <c r="AFM11" s="196"/>
      <c r="AFN11" s="196" t="s">
        <v>96</v>
      </c>
      <c r="AFO11" s="196"/>
      <c r="AFP11" s="196"/>
      <c r="AFQ11" s="196"/>
      <c r="AFR11" s="196"/>
      <c r="AFS11" s="196"/>
      <c r="AFT11" s="196"/>
      <c r="AFU11" s="196"/>
      <c r="AFV11" s="196"/>
      <c r="AFW11" s="196"/>
      <c r="AFX11" s="196"/>
      <c r="AFY11" s="196"/>
      <c r="AFZ11" s="196"/>
      <c r="AGA11" s="196"/>
      <c r="AGB11" s="196"/>
      <c r="AGC11" s="196"/>
      <c r="AGD11" s="196"/>
      <c r="AGE11" s="196"/>
      <c r="AGF11" s="196"/>
      <c r="AGG11" s="196"/>
      <c r="AGH11" s="196"/>
      <c r="AGI11" s="196"/>
      <c r="AGJ11" s="196"/>
      <c r="AGK11" s="196"/>
      <c r="AGL11" s="196"/>
      <c r="AGM11" s="196"/>
      <c r="AGN11" s="196"/>
      <c r="AGO11" s="196"/>
      <c r="AGP11" s="196"/>
      <c r="AGQ11" s="196"/>
      <c r="AGR11" s="196"/>
      <c r="AGS11" s="196"/>
      <c r="AGT11" s="196"/>
      <c r="AGU11" s="196"/>
      <c r="AGV11" s="196"/>
      <c r="AGW11" s="196"/>
      <c r="AGX11" s="196"/>
      <c r="AGY11" s="196"/>
      <c r="AGZ11" s="196"/>
      <c r="AHA11" s="196"/>
      <c r="AHB11" s="196"/>
      <c r="AHC11" s="196"/>
      <c r="AHD11" s="196"/>
      <c r="AHE11" s="196"/>
      <c r="AHF11" s="196"/>
      <c r="AHG11" s="196"/>
      <c r="AHH11" s="196"/>
      <c r="AHI11" s="196"/>
      <c r="AHJ11" s="196"/>
      <c r="AHK11" s="196"/>
      <c r="AHL11" s="196"/>
      <c r="AHM11" s="196"/>
      <c r="AHN11" s="196"/>
      <c r="AHO11" s="196"/>
      <c r="AHP11" s="196"/>
      <c r="AHQ11" s="196"/>
      <c r="AHR11" s="196"/>
      <c r="AHS11" s="196"/>
      <c r="AHT11" s="196"/>
      <c r="AHU11" s="196"/>
      <c r="AHV11" s="196" t="s">
        <v>94</v>
      </c>
      <c r="AHW11" s="196"/>
      <c r="AHX11" s="196"/>
      <c r="AHY11" s="196"/>
      <c r="AHZ11" s="196"/>
      <c r="AIA11" s="196"/>
      <c r="AIB11" s="196"/>
      <c r="AIC11" s="196"/>
      <c r="AID11" s="196"/>
      <c r="AIE11" s="196"/>
      <c r="AIF11" s="196"/>
      <c r="AIG11" s="196"/>
      <c r="AIH11" s="196"/>
      <c r="AII11" s="196"/>
      <c r="AIJ11" s="196"/>
      <c r="AIK11" s="196"/>
      <c r="AIL11" s="196"/>
      <c r="AIM11" s="196"/>
      <c r="AIN11" s="196"/>
      <c r="AIO11" s="196"/>
      <c r="AIP11" s="196"/>
      <c r="AIQ11" s="196"/>
      <c r="AIR11" s="196"/>
      <c r="AIS11" s="196"/>
      <c r="AIT11" s="196"/>
      <c r="AIU11" s="196"/>
      <c r="AIV11" s="196"/>
      <c r="AIW11" s="196"/>
      <c r="AIX11" s="196"/>
      <c r="AIY11" s="196"/>
      <c r="AIZ11" s="196"/>
      <c r="AJA11" s="196"/>
      <c r="AJB11" s="196"/>
      <c r="AJC11" s="196"/>
      <c r="AJD11" s="196"/>
      <c r="AJE11" s="196"/>
      <c r="AJF11" s="196"/>
      <c r="AJG11" s="196"/>
      <c r="AJH11" s="196"/>
      <c r="AJI11" s="196"/>
      <c r="AJJ11" s="196"/>
      <c r="AJK11" s="196"/>
      <c r="AJL11" s="196"/>
      <c r="AJM11" s="196"/>
      <c r="AJN11" s="196"/>
      <c r="AJO11" s="196"/>
      <c r="AJP11" s="196"/>
      <c r="AJQ11" s="196"/>
      <c r="AJR11" s="196"/>
      <c r="AJS11" s="196"/>
      <c r="AJT11" s="196"/>
      <c r="AJU11" s="196"/>
      <c r="AJV11" s="196"/>
      <c r="AJW11" s="196"/>
      <c r="AJX11" s="196"/>
      <c r="AJY11" s="196"/>
      <c r="AJZ11" s="196"/>
      <c r="AKA11" s="196"/>
      <c r="AKB11" s="196"/>
      <c r="AKC11" s="196"/>
      <c r="AKD11" s="196" t="s">
        <v>91</v>
      </c>
      <c r="AKE11" s="196"/>
      <c r="AKF11" s="196"/>
      <c r="AKG11" s="196"/>
      <c r="AKH11" s="196"/>
      <c r="AKI11" s="196"/>
      <c r="AKJ11" s="196"/>
      <c r="AKK11" s="196"/>
      <c r="AKL11" s="196"/>
      <c r="AKM11" s="196"/>
      <c r="AKN11" s="196"/>
      <c r="AKO11" s="196"/>
      <c r="AKP11" s="196"/>
      <c r="AKQ11" s="196"/>
      <c r="AKR11" s="196"/>
      <c r="AKS11" s="196"/>
      <c r="AKT11" s="196"/>
      <c r="AKU11" s="196"/>
      <c r="AKV11" s="196"/>
      <c r="AKW11" s="196"/>
      <c r="AKX11" s="196"/>
      <c r="AKY11" s="196"/>
      <c r="AKZ11" s="196"/>
      <c r="ALA11" s="196"/>
      <c r="ALB11" s="196"/>
      <c r="ALC11" s="196"/>
      <c r="ALD11" s="196"/>
      <c r="ALE11" s="196"/>
      <c r="ALF11" s="196"/>
      <c r="ALG11" s="196"/>
      <c r="ALH11" s="196"/>
      <c r="ALI11" s="196"/>
      <c r="ALJ11" s="196"/>
      <c r="ALK11" s="196"/>
      <c r="ALL11" s="196"/>
      <c r="ALM11" s="196"/>
      <c r="ALN11" s="196"/>
      <c r="ALO11" s="196"/>
      <c r="ALP11" s="196"/>
      <c r="ALQ11" s="196"/>
      <c r="ALR11" s="196"/>
      <c r="ALS11" s="196"/>
      <c r="ALT11" s="196"/>
      <c r="ALU11" s="196"/>
      <c r="ALV11" s="196"/>
      <c r="ALW11" s="196"/>
      <c r="ALX11" s="196"/>
      <c r="ALY11" s="196"/>
      <c r="ALZ11" s="196"/>
      <c r="AMA11" s="196"/>
      <c r="AMB11" s="196"/>
      <c r="AMC11" s="196"/>
      <c r="AMD11" s="196"/>
      <c r="AME11" s="196"/>
      <c r="AMF11" s="196"/>
      <c r="AMG11" s="196"/>
      <c r="AMH11" s="196"/>
      <c r="AMI11" s="196"/>
      <c r="AMJ11" s="196"/>
      <c r="AMK11" s="196"/>
      <c r="AML11" s="196" t="s">
        <v>91</v>
      </c>
      <c r="AMM11" s="196"/>
      <c r="AMN11" s="196"/>
      <c r="AMO11" s="196"/>
      <c r="AMP11" s="196"/>
      <c r="AMQ11" s="196"/>
      <c r="AMR11" s="196"/>
      <c r="AMS11" s="196"/>
      <c r="AMT11" s="196"/>
      <c r="AMU11" s="196"/>
      <c r="AMV11" s="196"/>
      <c r="AMW11" s="196"/>
      <c r="AMX11" s="196"/>
      <c r="AMY11" s="196"/>
      <c r="AMZ11" s="196"/>
      <c r="ANA11" s="196"/>
      <c r="ANB11" s="196"/>
      <c r="ANC11" s="196"/>
      <c r="AND11" s="196"/>
      <c r="ANE11" s="196"/>
      <c r="ANF11" s="196"/>
      <c r="ANG11" s="196"/>
      <c r="ANH11" s="196"/>
      <c r="ANI11" s="196"/>
      <c r="ANJ11" s="196"/>
      <c r="ANK11" s="196"/>
      <c r="ANL11" s="196"/>
      <c r="ANM11" s="196"/>
      <c r="ANN11" s="196"/>
      <c r="ANO11" s="196"/>
      <c r="ANP11" s="196"/>
      <c r="ANQ11" s="196"/>
      <c r="ANR11" s="196"/>
      <c r="ANS11" s="196"/>
      <c r="ANT11" s="196"/>
      <c r="ANU11" s="196"/>
      <c r="ANV11" s="196"/>
      <c r="ANW11" s="196"/>
      <c r="ANX11" s="196"/>
      <c r="ANY11" s="196"/>
      <c r="ANZ11" s="196"/>
      <c r="AOA11" s="196"/>
      <c r="AOB11" s="196"/>
      <c r="AOC11" s="196"/>
      <c r="AOD11" s="196"/>
      <c r="AOE11" s="196"/>
      <c r="AOF11" s="196"/>
      <c r="AOG11" s="196"/>
      <c r="AOH11" s="196"/>
      <c r="AOI11" s="196"/>
      <c r="AOJ11" s="196"/>
      <c r="AOK11" s="196"/>
      <c r="AOL11" s="196"/>
      <c r="AOM11" s="196"/>
      <c r="AON11" s="196"/>
      <c r="AOO11" s="196"/>
      <c r="AOP11" s="196"/>
      <c r="AOQ11" s="196"/>
      <c r="AOR11" s="196"/>
      <c r="AOS11" s="196"/>
      <c r="AOT11" s="196" t="s">
        <v>88</v>
      </c>
      <c r="AOU11" s="196"/>
      <c r="AOV11" s="196"/>
      <c r="AOW11" s="196"/>
      <c r="AOX11" s="196"/>
      <c r="AOY11" s="196"/>
      <c r="AOZ11" s="196"/>
      <c r="APA11" s="196"/>
      <c r="APB11" s="196"/>
      <c r="APC11" s="196"/>
      <c r="APD11" s="196"/>
      <c r="APE11" s="196"/>
      <c r="APF11" s="196"/>
      <c r="APG11" s="196"/>
      <c r="APH11" s="196"/>
      <c r="API11" s="196"/>
      <c r="APJ11" s="196"/>
      <c r="APK11" s="196"/>
      <c r="APL11" s="196"/>
      <c r="APM11" s="196"/>
      <c r="APN11" s="196"/>
      <c r="APO11" s="196"/>
      <c r="APP11" s="196"/>
      <c r="APQ11" s="196"/>
      <c r="APR11" s="196"/>
      <c r="APS11" s="196"/>
      <c r="APT11" s="196"/>
      <c r="APU11" s="196"/>
      <c r="APV11" s="196"/>
      <c r="APW11" s="196"/>
      <c r="APX11" s="196"/>
      <c r="APY11" s="196"/>
      <c r="APZ11" s="196"/>
      <c r="AQA11" s="196"/>
      <c r="AQB11" s="196"/>
      <c r="AQC11" s="196"/>
      <c r="AQD11" s="196"/>
      <c r="AQE11" s="196"/>
      <c r="AQF11" s="196"/>
      <c r="AQG11" s="196"/>
      <c r="AQH11" s="196"/>
      <c r="AQI11" s="196"/>
      <c r="AQJ11" s="196"/>
      <c r="AQK11" s="196"/>
      <c r="AQL11" s="196"/>
      <c r="AQM11" s="196"/>
      <c r="AQN11" s="196"/>
      <c r="AQO11" s="196"/>
      <c r="AQP11" s="196"/>
      <c r="AQQ11" s="196"/>
      <c r="AQR11" s="196"/>
      <c r="AQS11" s="196"/>
      <c r="AQT11" s="196"/>
      <c r="AQU11" s="196"/>
      <c r="AQV11" s="196"/>
      <c r="AQW11" s="196"/>
      <c r="AQX11" s="196"/>
      <c r="AQY11" s="196"/>
      <c r="AQZ11" s="196"/>
      <c r="ARA11" s="196"/>
      <c r="ARB11" s="196" t="s">
        <v>88</v>
      </c>
      <c r="ARC11" s="196"/>
      <c r="ARD11" s="196"/>
      <c r="ARE11" s="196"/>
      <c r="ARF11" s="196"/>
      <c r="ARG11" s="196"/>
      <c r="ARH11" s="196"/>
      <c r="ARI11" s="196"/>
      <c r="ARJ11" s="196"/>
      <c r="ARK11" s="196"/>
      <c r="ARL11" s="196"/>
      <c r="ARM11" s="196"/>
      <c r="ARN11" s="196"/>
      <c r="ARO11" s="196"/>
      <c r="ARP11" s="196"/>
      <c r="ARQ11" s="196"/>
      <c r="ARR11" s="196"/>
      <c r="ARS11" s="196"/>
      <c r="ART11" s="196"/>
      <c r="ARU11" s="196"/>
      <c r="ARV11" s="196"/>
      <c r="ARW11" s="196"/>
      <c r="ARX11" s="196"/>
      <c r="ARY11" s="196"/>
      <c r="ARZ11" s="196"/>
      <c r="ASA11" s="196"/>
      <c r="ASB11" s="196"/>
      <c r="ASC11" s="196"/>
      <c r="ASD11" s="196"/>
      <c r="ASE11" s="196"/>
      <c r="ASF11" s="196"/>
      <c r="ASG11" s="196"/>
      <c r="ASH11" s="196"/>
      <c r="ASI11" s="196"/>
      <c r="ASJ11" s="196"/>
      <c r="ASK11" s="196"/>
      <c r="ASL11" s="196"/>
      <c r="ASM11" s="196"/>
      <c r="ASN11" s="196"/>
      <c r="ASO11" s="196"/>
      <c r="ASP11" s="196"/>
      <c r="ASQ11" s="196"/>
      <c r="ASR11" s="196"/>
      <c r="ASS11" s="196"/>
      <c r="AST11" s="196"/>
      <c r="ASU11" s="196"/>
      <c r="ASV11" s="196"/>
      <c r="ASW11" s="196"/>
      <c r="ASX11" s="196"/>
      <c r="ASY11" s="196"/>
      <c r="ASZ11" s="196"/>
      <c r="ATA11" s="196"/>
      <c r="ATB11" s="196"/>
      <c r="ATC11" s="196"/>
      <c r="ATD11" s="196"/>
      <c r="ATE11" s="196"/>
      <c r="ATF11" s="196"/>
      <c r="ATG11" s="196"/>
      <c r="ATH11" s="196"/>
      <c r="ATI11" s="196"/>
      <c r="ATJ11" s="196" t="s">
        <v>86</v>
      </c>
      <c r="ATK11" s="196"/>
      <c r="ATL11" s="196"/>
      <c r="ATM11" s="196"/>
      <c r="ATN11" s="196"/>
      <c r="ATO11" s="196"/>
      <c r="ATP11" s="196"/>
      <c r="ATQ11" s="196"/>
      <c r="ATR11" s="196"/>
      <c r="ATS11" s="196"/>
      <c r="ATT11" s="196"/>
      <c r="ATU11" s="196"/>
      <c r="ATV11" s="196"/>
      <c r="ATW11" s="196"/>
      <c r="ATX11" s="196"/>
      <c r="ATY11" s="196"/>
      <c r="ATZ11" s="196"/>
      <c r="AUA11" s="196"/>
      <c r="AUB11" s="196"/>
      <c r="AUC11" s="196"/>
      <c r="AUD11" s="196"/>
      <c r="AUE11" s="196"/>
      <c r="AUF11" s="196"/>
      <c r="AUG11" s="196"/>
      <c r="AUH11" s="196"/>
      <c r="AUI11" s="196"/>
      <c r="AUJ11" s="196"/>
      <c r="AUK11" s="196"/>
      <c r="AUL11" s="196"/>
      <c r="AUM11" s="196"/>
      <c r="AUN11" s="196"/>
      <c r="AUO11" s="196"/>
      <c r="AUP11" s="196"/>
      <c r="AUQ11" s="196"/>
      <c r="AUR11" s="196"/>
      <c r="AUS11" s="196"/>
      <c r="AUT11" s="196"/>
      <c r="AUU11" s="196"/>
      <c r="AUV11" s="196"/>
      <c r="AUW11" s="196"/>
      <c r="AUX11" s="196"/>
      <c r="AUY11" s="196"/>
      <c r="AUZ11" s="196"/>
      <c r="AVA11" s="196"/>
      <c r="AVB11" s="196"/>
      <c r="AVC11" s="196"/>
      <c r="AVD11" s="196"/>
      <c r="AVE11" s="196"/>
      <c r="AVF11" s="196"/>
      <c r="AVG11" s="196"/>
      <c r="AVH11" s="196"/>
      <c r="AVI11" s="196"/>
      <c r="AVJ11" s="196"/>
      <c r="AVK11" s="196"/>
      <c r="AVL11" s="196"/>
      <c r="AVM11" s="196"/>
      <c r="AVN11" s="196"/>
      <c r="AVO11" s="196"/>
      <c r="AVP11" s="196"/>
      <c r="AVQ11" s="196"/>
      <c r="AVR11" s="196" t="s">
        <v>83</v>
      </c>
      <c r="AVS11" s="196"/>
      <c r="AVT11" s="196"/>
      <c r="AVU11" s="196"/>
      <c r="AVV11" s="196"/>
      <c r="AVW11" s="196"/>
      <c r="AVX11" s="196"/>
      <c r="AVY11" s="196"/>
      <c r="AVZ11" s="196"/>
      <c r="AWA11" s="196"/>
      <c r="AWB11" s="196"/>
      <c r="AWC11" s="196"/>
      <c r="AWD11" s="196"/>
      <c r="AWE11" s="196"/>
      <c r="AWF11" s="196"/>
      <c r="AWG11" s="196"/>
      <c r="AWH11" s="196"/>
      <c r="AWI11" s="196"/>
      <c r="AWJ11" s="196"/>
      <c r="AWK11" s="196"/>
      <c r="AWL11" s="196"/>
      <c r="AWM11" s="196"/>
      <c r="AWN11" s="196"/>
      <c r="AWO11" s="196"/>
      <c r="AWP11" s="196"/>
      <c r="AWQ11" s="196"/>
      <c r="AWR11" s="196"/>
      <c r="AWS11" s="196"/>
      <c r="AWT11" s="196"/>
      <c r="AWU11" s="196"/>
      <c r="AWV11" s="196"/>
      <c r="AWW11" s="196"/>
      <c r="AWX11" s="196"/>
      <c r="AWY11" s="196"/>
      <c r="AWZ11" s="196"/>
      <c r="AXA11" s="196"/>
      <c r="AXB11" s="196"/>
      <c r="AXC11" s="196"/>
      <c r="AXD11" s="196"/>
      <c r="AXE11" s="196"/>
      <c r="AXF11" s="196"/>
      <c r="AXG11" s="196"/>
      <c r="AXH11" s="196"/>
      <c r="AXI11" s="196"/>
      <c r="AXJ11" s="196"/>
      <c r="AXK11" s="196"/>
      <c r="AXL11" s="196"/>
      <c r="AXM11" s="196"/>
      <c r="AXN11" s="196"/>
      <c r="AXO11" s="196"/>
      <c r="AXP11" s="196"/>
      <c r="AXQ11" s="196"/>
      <c r="AXR11" s="196"/>
      <c r="AXS11" s="196"/>
      <c r="AXT11" s="196"/>
      <c r="AXU11" s="196"/>
      <c r="AXV11" s="196"/>
      <c r="AXW11" s="196"/>
      <c r="AXX11" s="196"/>
      <c r="AXY11" s="196"/>
      <c r="AXZ11" s="196" t="s">
        <v>83</v>
      </c>
      <c r="AYA11" s="196"/>
      <c r="AYB11" s="196"/>
      <c r="AYC11" s="196"/>
      <c r="AYD11" s="196"/>
      <c r="AYE11" s="196"/>
      <c r="AYF11" s="196"/>
      <c r="AYG11" s="196"/>
      <c r="AYH11" s="196"/>
      <c r="AYI11" s="196"/>
      <c r="AYJ11" s="196"/>
      <c r="AYK11" s="196"/>
      <c r="AYL11" s="196"/>
      <c r="AYM11" s="196"/>
      <c r="AYN11" s="196"/>
      <c r="AYO11" s="196"/>
      <c r="AYP11" s="196"/>
      <c r="AYQ11" s="196"/>
      <c r="AYR11" s="196"/>
      <c r="AYS11" s="196"/>
      <c r="AYT11" s="196"/>
      <c r="AYU11" s="196"/>
      <c r="AYV11" s="196"/>
      <c r="AYW11" s="196"/>
      <c r="AYX11" s="196"/>
      <c r="AYY11" s="196"/>
      <c r="AYZ11" s="196"/>
      <c r="AZA11" s="196"/>
      <c r="AZB11" s="196"/>
      <c r="AZC11" s="196"/>
      <c r="AZD11" s="196"/>
      <c r="AZE11" s="196"/>
      <c r="AZF11" s="196"/>
      <c r="AZG11" s="196"/>
      <c r="AZH11" s="196"/>
      <c r="AZI11" s="196"/>
      <c r="AZJ11" s="196"/>
      <c r="AZK11" s="196"/>
      <c r="AZL11" s="196"/>
      <c r="AZM11" s="196"/>
      <c r="AZN11" s="196"/>
      <c r="AZO11" s="196"/>
      <c r="AZP11" s="196"/>
      <c r="AZQ11" s="196"/>
      <c r="AZR11" s="196"/>
      <c r="AZS11" s="196"/>
      <c r="AZT11" s="196"/>
      <c r="AZU11" s="196"/>
      <c r="AZV11" s="196"/>
      <c r="AZW11" s="196"/>
      <c r="AZX11" s="196"/>
      <c r="AZY11" s="196"/>
      <c r="AZZ11" s="196"/>
      <c r="BAA11" s="196"/>
      <c r="BAB11" s="196"/>
      <c r="BAC11" s="196"/>
      <c r="BAD11" s="196"/>
      <c r="BAE11" s="196"/>
      <c r="BAF11" s="196"/>
      <c r="BAG11" s="196"/>
      <c r="BAH11" s="196" t="s">
        <v>80</v>
      </c>
      <c r="BAI11" s="196"/>
      <c r="BAJ11" s="196"/>
      <c r="BAK11" s="196"/>
      <c r="BAL11" s="196"/>
      <c r="BAM11" s="196"/>
      <c r="BAN11" s="196"/>
      <c r="BAO11" s="196"/>
      <c r="BAP11" s="196"/>
      <c r="BAQ11" s="196"/>
      <c r="BAR11" s="196"/>
      <c r="BAS11" s="196"/>
      <c r="BAT11" s="196"/>
      <c r="BAU11" s="196"/>
      <c r="BAV11" s="196"/>
      <c r="BAW11" s="196"/>
      <c r="BAX11" s="196"/>
      <c r="BAY11" s="196"/>
      <c r="BAZ11" s="196"/>
      <c r="BBA11" s="196"/>
      <c r="BBB11" s="196"/>
      <c r="BBC11" s="196"/>
      <c r="BBD11" s="196"/>
      <c r="BBE11" s="196"/>
      <c r="BBF11" s="196"/>
      <c r="BBG11" s="196"/>
      <c r="BBH11" s="196"/>
      <c r="BBI11" s="196"/>
      <c r="BBJ11" s="196"/>
      <c r="BBK11" s="196"/>
      <c r="BBL11" s="196"/>
      <c r="BBM11" s="196"/>
      <c r="BBN11" s="196"/>
      <c r="BBO11" s="196"/>
      <c r="BBP11" s="196"/>
      <c r="BBQ11" s="196"/>
      <c r="BBR11" s="196"/>
      <c r="BBS11" s="196"/>
      <c r="BBT11" s="196"/>
      <c r="BBU11" s="196"/>
      <c r="BBV11" s="196"/>
      <c r="BBW11" s="196"/>
      <c r="BBX11" s="196"/>
      <c r="BBY11" s="196"/>
      <c r="BBZ11" s="196"/>
      <c r="BCA11" s="196"/>
      <c r="BCB11" s="196"/>
      <c r="BCC11" s="196"/>
      <c r="BCD11" s="196"/>
      <c r="BCE11" s="196"/>
      <c r="BCF11" s="196"/>
      <c r="BCG11" s="196"/>
      <c r="BCH11" s="196"/>
      <c r="BCI11" s="196"/>
      <c r="BCJ11" s="196"/>
      <c r="BCK11" s="196"/>
      <c r="BCL11" s="196"/>
      <c r="BCM11" s="196"/>
      <c r="BCN11" s="196"/>
      <c r="BCO11" s="196"/>
      <c r="BCP11" s="196" t="s">
        <v>80</v>
      </c>
      <c r="BCQ11" s="196"/>
      <c r="BCR11" s="196"/>
      <c r="BCS11" s="196"/>
      <c r="BCT11" s="196"/>
      <c r="BCU11" s="196"/>
      <c r="BCV11" s="196"/>
      <c r="BCW11" s="196"/>
      <c r="BCX11" s="196"/>
      <c r="BCY11" s="196"/>
      <c r="BCZ11" s="196"/>
      <c r="BDA11" s="196"/>
      <c r="BDB11" s="196"/>
      <c r="BDC11" s="196"/>
      <c r="BDD11" s="196"/>
      <c r="BDE11" s="196"/>
      <c r="BDF11" s="196"/>
      <c r="BDG11" s="196"/>
      <c r="BDH11" s="196"/>
      <c r="BDI11" s="196"/>
      <c r="BDJ11" s="196"/>
      <c r="BDK11" s="196"/>
      <c r="BDL11" s="196"/>
      <c r="BDM11" s="196"/>
      <c r="BDN11" s="196"/>
      <c r="BDO11" s="196"/>
      <c r="BDP11" s="196"/>
      <c r="BDQ11" s="196"/>
      <c r="BDR11" s="196"/>
      <c r="BDS11" s="196"/>
      <c r="BDT11" s="196"/>
      <c r="BDU11" s="196"/>
      <c r="BDV11" s="196"/>
      <c r="BDW11" s="196"/>
      <c r="BDX11" s="196"/>
      <c r="BDY11" s="196"/>
      <c r="BDZ11" s="196"/>
      <c r="BEA11" s="196"/>
      <c r="BEB11" s="196"/>
      <c r="BEC11" s="196"/>
      <c r="BED11" s="196"/>
      <c r="BEE11" s="196"/>
      <c r="BEF11" s="196"/>
      <c r="BEG11" s="196"/>
      <c r="BEH11" s="196"/>
      <c r="BEI11" s="196"/>
      <c r="BEJ11" s="196"/>
      <c r="BEK11" s="196"/>
      <c r="BEL11" s="196"/>
      <c r="BEM11" s="196"/>
      <c r="BEN11" s="196"/>
      <c r="BEO11" s="196"/>
      <c r="BEP11" s="196"/>
      <c r="BEQ11" s="196"/>
      <c r="BER11" s="196"/>
      <c r="BES11" s="196"/>
      <c r="BET11" s="196"/>
      <c r="BEU11" s="196"/>
      <c r="BEV11" s="196"/>
      <c r="BEW11" s="196"/>
      <c r="BEX11" s="196" t="s">
        <v>77</v>
      </c>
      <c r="BEY11" s="196"/>
      <c r="BEZ11" s="196"/>
      <c r="BFA11" s="196"/>
      <c r="BFB11" s="196"/>
      <c r="BFC11" s="196"/>
      <c r="BFD11" s="196"/>
      <c r="BFE11" s="196"/>
      <c r="BFF11" s="196"/>
      <c r="BFG11" s="196"/>
      <c r="BFH11" s="196"/>
      <c r="BFI11" s="196"/>
      <c r="BFJ11" s="196"/>
      <c r="BFK11" s="196"/>
      <c r="BFL11" s="196"/>
      <c r="BFM11" s="196"/>
      <c r="BFN11" s="196"/>
      <c r="BFO11" s="196"/>
      <c r="BFP11" s="196"/>
      <c r="BFQ11" s="196"/>
      <c r="BFR11" s="196"/>
      <c r="BFS11" s="196"/>
      <c r="BFT11" s="196"/>
      <c r="BFU11" s="196"/>
      <c r="BFV11" s="196"/>
      <c r="BFW11" s="196"/>
      <c r="BFX11" s="196"/>
      <c r="BFY11" s="196"/>
      <c r="BFZ11" s="196"/>
      <c r="BGA11" s="196"/>
      <c r="BGB11" s="196"/>
      <c r="BGC11" s="196"/>
      <c r="BGD11" s="196"/>
      <c r="BGE11" s="196"/>
      <c r="BGF11" s="196"/>
      <c r="BGG11" s="196"/>
      <c r="BGH11" s="196"/>
      <c r="BGI11" s="196"/>
      <c r="BGJ11" s="196"/>
      <c r="BGK11" s="196"/>
      <c r="BGL11" s="196"/>
      <c r="BGM11" s="196"/>
      <c r="BGN11" s="196"/>
      <c r="BGO11" s="196"/>
      <c r="BGP11" s="196"/>
      <c r="BGQ11" s="196"/>
      <c r="BGR11" s="196"/>
      <c r="BGS11" s="196"/>
      <c r="BGT11" s="196"/>
      <c r="BGU11" s="196"/>
      <c r="BGV11" s="196"/>
      <c r="BGW11" s="196"/>
      <c r="BGX11" s="196"/>
      <c r="BGY11" s="196"/>
      <c r="BGZ11" s="196"/>
      <c r="BHA11" s="196"/>
      <c r="BHB11" s="196"/>
      <c r="BHC11" s="196"/>
      <c r="BHD11" s="196"/>
      <c r="BHE11" s="196"/>
      <c r="BHF11" s="196" t="s">
        <v>77</v>
      </c>
      <c r="BHG11" s="196"/>
      <c r="BHH11" s="196"/>
      <c r="BHI11" s="196"/>
      <c r="BHJ11" s="196"/>
      <c r="BHK11" s="196"/>
      <c r="BHL11" s="196"/>
      <c r="BHM11" s="196"/>
      <c r="BHN11" s="196"/>
      <c r="BHO11" s="196"/>
      <c r="BHP11" s="196"/>
      <c r="BHQ11" s="196"/>
      <c r="BHR11" s="196"/>
      <c r="BHS11" s="196"/>
      <c r="BHT11" s="196"/>
      <c r="BHU11" s="196"/>
      <c r="BHV11" s="196"/>
      <c r="BHW11" s="196"/>
      <c r="BHX11" s="196"/>
      <c r="BHY11" s="196"/>
      <c r="BHZ11" s="196"/>
      <c r="BIA11" s="196"/>
      <c r="BIB11" s="196"/>
      <c r="BIC11" s="196"/>
      <c r="BID11" s="196"/>
      <c r="BIE11" s="196"/>
      <c r="BIF11" s="196"/>
      <c r="BIG11" s="196"/>
      <c r="BIH11" s="196"/>
      <c r="BII11" s="196"/>
      <c r="BIJ11" s="196"/>
      <c r="BIK11" s="196"/>
      <c r="BIL11" s="196"/>
      <c r="BIM11" s="196"/>
      <c r="BIN11" s="196"/>
      <c r="BIO11" s="196"/>
      <c r="BIP11" s="196"/>
      <c r="BIQ11" s="196"/>
      <c r="BIR11" s="196"/>
      <c r="BIS11" s="196"/>
      <c r="BIT11" s="196"/>
      <c r="BIU11" s="196"/>
      <c r="BIV11" s="196"/>
      <c r="BIW11" s="196"/>
      <c r="BIX11" s="196"/>
      <c r="BIY11" s="196"/>
      <c r="BIZ11" s="196"/>
      <c r="BJA11" s="196"/>
      <c r="BJB11" s="196"/>
      <c r="BJC11" s="196"/>
      <c r="BJD11" s="196"/>
      <c r="BJE11" s="196"/>
      <c r="BJF11" s="196"/>
      <c r="BJG11" s="196"/>
      <c r="BJH11" s="196"/>
      <c r="BJI11" s="196"/>
      <c r="BJJ11" s="196"/>
      <c r="BJK11" s="196"/>
      <c r="BJL11" s="196"/>
      <c r="BJM11" s="196"/>
      <c r="BJN11" s="196"/>
      <c r="BJO11" s="196"/>
      <c r="BJP11" s="196"/>
      <c r="BJQ11" s="196"/>
      <c r="BJR11" s="196"/>
      <c r="BJS11" s="196"/>
      <c r="BJT11" s="196"/>
      <c r="BJU11" s="196"/>
      <c r="BJV11" s="196"/>
      <c r="BJW11" s="196"/>
      <c r="BJX11" s="196"/>
      <c r="BJY11" s="196"/>
      <c r="BJZ11" s="196"/>
      <c r="BKA11" s="196"/>
      <c r="BKB11" s="196"/>
      <c r="BKC11" s="196"/>
      <c r="BKD11" s="196"/>
      <c r="BKE11" s="196"/>
      <c r="BKF11" s="196"/>
      <c r="BKG11" s="196"/>
      <c r="BKH11" s="196"/>
      <c r="BKI11" s="196"/>
      <c r="BKJ11" s="196"/>
      <c r="BKK11" s="196"/>
      <c r="BKL11" s="196"/>
      <c r="BKM11" s="196"/>
      <c r="BKN11" s="196"/>
      <c r="BKO11" s="196"/>
      <c r="BKP11" s="196"/>
      <c r="BKQ11" s="196"/>
      <c r="BKR11" s="196"/>
      <c r="BKS11" s="196"/>
      <c r="BKT11" s="196"/>
      <c r="BKU11" s="196"/>
      <c r="BKV11" s="196"/>
      <c r="BKW11" s="196"/>
      <c r="BKX11" s="196"/>
      <c r="BKY11" s="196"/>
      <c r="BKZ11" s="196"/>
      <c r="BLA11" s="196"/>
      <c r="BLB11" s="196"/>
      <c r="BLC11" s="196"/>
      <c r="BLD11" s="196"/>
      <c r="BLE11" s="196"/>
      <c r="BLF11" s="196"/>
      <c r="BLG11" s="196"/>
      <c r="BLH11" s="196"/>
      <c r="BLI11" s="196"/>
      <c r="BLJ11" s="196"/>
      <c r="BLK11" s="196"/>
      <c r="BLL11" s="196"/>
      <c r="BLM11" s="196"/>
      <c r="BLN11" s="196"/>
      <c r="BLO11" s="196"/>
      <c r="BLP11" s="196"/>
      <c r="BLQ11" s="196"/>
      <c r="BLR11" s="196"/>
      <c r="BLS11" s="196"/>
      <c r="BLT11" s="196"/>
      <c r="BLU11" s="196"/>
      <c r="BLV11" s="196"/>
      <c r="BLW11" s="196"/>
      <c r="BLX11" s="196"/>
      <c r="BLY11" s="196"/>
      <c r="BLZ11" s="196"/>
      <c r="BMA11" s="196"/>
      <c r="BMB11" s="196"/>
      <c r="BMC11" s="196"/>
      <c r="BMD11" s="196"/>
      <c r="BME11" s="196"/>
      <c r="BMF11" s="196"/>
      <c r="BMG11" s="196"/>
      <c r="BMH11" s="196"/>
      <c r="BMI11" s="196"/>
      <c r="BMJ11" s="196"/>
      <c r="BMK11" s="196"/>
      <c r="BML11" s="196"/>
      <c r="BMM11" s="196"/>
      <c r="BMN11" s="196"/>
      <c r="BMO11" s="196"/>
      <c r="BMP11" s="196"/>
      <c r="BMQ11" s="196"/>
      <c r="BMR11" s="196"/>
      <c r="BMS11" s="196"/>
      <c r="BMT11" s="196"/>
      <c r="BMU11" s="196"/>
      <c r="BMV11" s="196"/>
      <c r="BMW11" s="196"/>
      <c r="BMX11" s="196"/>
      <c r="BMY11" s="196"/>
      <c r="BMZ11" s="196"/>
      <c r="BNA11" s="196"/>
      <c r="BNB11" s="196"/>
      <c r="BNC11" s="196"/>
      <c r="BND11" s="196"/>
      <c r="BNE11" s="196"/>
      <c r="BNF11" s="196"/>
      <c r="BNG11" s="196"/>
      <c r="BNH11" s="196"/>
      <c r="BNI11" s="196"/>
      <c r="BNJ11" s="196"/>
      <c r="BNK11" s="196"/>
      <c r="BNL11" s="196"/>
      <c r="BNM11" s="196"/>
      <c r="BNN11" s="196"/>
      <c r="BNO11" s="196"/>
      <c r="BNP11" s="196"/>
      <c r="BNQ11" s="196"/>
      <c r="BNR11" s="196"/>
      <c r="BNS11" s="196"/>
      <c r="BNT11" s="196"/>
      <c r="BNU11" s="196"/>
      <c r="BNV11" s="196"/>
      <c r="BNW11" s="196"/>
      <c r="BNX11" s="196"/>
      <c r="BNY11" s="196"/>
      <c r="BNZ11" s="196"/>
      <c r="BOA11" s="196"/>
      <c r="BOB11" s="196"/>
      <c r="BOC11" s="196"/>
      <c r="BOD11" s="90"/>
    </row>
    <row r="12" spans="1:1746" ht="15.75" customHeight="1" thickBot="1" x14ac:dyDescent="0.3">
      <c r="B12" s="97"/>
      <c r="C12" s="224"/>
      <c r="D12" s="224"/>
      <c r="E12" s="224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  <c r="BR12" s="218"/>
      <c r="BS12" s="218"/>
      <c r="BT12" s="218"/>
      <c r="BU12" s="218"/>
      <c r="BV12" s="218"/>
      <c r="BW12" s="218"/>
      <c r="BX12" s="218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  <c r="CK12" s="218"/>
      <c r="CL12" s="218"/>
      <c r="CM12" s="218"/>
      <c r="CN12" s="218"/>
      <c r="CO12" s="218"/>
      <c r="CP12" s="218"/>
      <c r="CQ12" s="218"/>
      <c r="CR12" s="218"/>
      <c r="CS12" s="218"/>
      <c r="CT12" s="218"/>
      <c r="CU12" s="218"/>
      <c r="CV12" s="218"/>
      <c r="CW12" s="218"/>
      <c r="CX12" s="218"/>
      <c r="CY12" s="218"/>
      <c r="CZ12" s="218"/>
      <c r="DA12" s="218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18"/>
      <c r="DQ12" s="218"/>
      <c r="DR12" s="218"/>
      <c r="DS12" s="218"/>
      <c r="DT12" s="218"/>
      <c r="DU12" s="218"/>
      <c r="DV12" s="197"/>
      <c r="DW12" s="197"/>
      <c r="DX12" s="197"/>
      <c r="DY12" s="197"/>
      <c r="DZ12" s="197"/>
      <c r="EA12" s="197"/>
      <c r="EB12" s="197"/>
      <c r="EC12" s="197"/>
      <c r="ED12" s="197"/>
      <c r="EE12" s="197"/>
      <c r="EF12" s="197"/>
      <c r="EG12" s="197"/>
      <c r="EH12" s="197"/>
      <c r="EI12" s="197"/>
      <c r="EJ12" s="197"/>
      <c r="EK12" s="197"/>
      <c r="EL12" s="197"/>
      <c r="EM12" s="197"/>
      <c r="EN12" s="197"/>
      <c r="EO12" s="197"/>
      <c r="EP12" s="197"/>
      <c r="EQ12" s="197"/>
      <c r="ER12" s="197"/>
      <c r="ES12" s="197"/>
      <c r="ET12" s="197"/>
      <c r="EU12" s="197"/>
      <c r="EV12" s="197"/>
      <c r="EW12" s="197"/>
      <c r="EX12" s="197"/>
      <c r="EY12" s="197"/>
      <c r="EZ12" s="197"/>
      <c r="FA12" s="197"/>
      <c r="FB12" s="197"/>
      <c r="FC12" s="197"/>
      <c r="FD12" s="197"/>
      <c r="FE12" s="197"/>
      <c r="FF12" s="197"/>
      <c r="FG12" s="197"/>
      <c r="FH12" s="197"/>
      <c r="FI12" s="197"/>
      <c r="FJ12" s="197"/>
      <c r="FK12" s="197"/>
      <c r="FL12" s="197"/>
      <c r="FM12" s="197"/>
      <c r="FN12" s="197"/>
      <c r="FO12" s="197"/>
      <c r="FP12" s="197"/>
      <c r="FQ12" s="197"/>
      <c r="FR12" s="197"/>
      <c r="FS12" s="197"/>
      <c r="FT12" s="197"/>
      <c r="FU12" s="197"/>
      <c r="FV12" s="197"/>
      <c r="FW12" s="197"/>
      <c r="FX12" s="197"/>
      <c r="FY12" s="197"/>
      <c r="FZ12" s="197"/>
      <c r="GA12" s="197"/>
      <c r="GB12" s="197"/>
      <c r="GC12" s="197"/>
      <c r="GD12" s="197"/>
      <c r="GE12" s="197"/>
      <c r="GF12" s="197"/>
      <c r="GG12" s="197"/>
      <c r="GH12" s="197"/>
      <c r="GI12" s="197"/>
      <c r="GJ12" s="197"/>
      <c r="GK12" s="197"/>
      <c r="GL12" s="197"/>
      <c r="GM12" s="197"/>
      <c r="GN12" s="197"/>
      <c r="GO12" s="197"/>
      <c r="GP12" s="197"/>
      <c r="GQ12" s="197"/>
      <c r="GR12" s="197"/>
      <c r="GS12" s="197"/>
      <c r="GT12" s="197"/>
      <c r="GU12" s="197"/>
      <c r="GV12" s="197"/>
      <c r="GW12" s="197"/>
      <c r="GX12" s="197"/>
      <c r="GY12" s="197"/>
      <c r="GZ12" s="197"/>
      <c r="HA12" s="197"/>
      <c r="HB12" s="197"/>
      <c r="HC12" s="197"/>
      <c r="HD12" s="197"/>
      <c r="HE12" s="197"/>
      <c r="HF12" s="197"/>
      <c r="HG12" s="197"/>
      <c r="HH12" s="197"/>
      <c r="HI12" s="197"/>
      <c r="HJ12" s="197"/>
      <c r="HK12" s="197"/>
      <c r="HL12" s="197"/>
      <c r="HM12" s="197"/>
      <c r="HN12" s="197"/>
      <c r="HO12" s="197"/>
      <c r="HP12" s="197"/>
      <c r="HQ12" s="197"/>
      <c r="HR12" s="197"/>
      <c r="HS12" s="197"/>
      <c r="HT12" s="197"/>
      <c r="HU12" s="197"/>
      <c r="HV12" s="197"/>
      <c r="HW12" s="197"/>
      <c r="HX12" s="197"/>
      <c r="HY12" s="197"/>
      <c r="HZ12" s="197"/>
      <c r="IA12" s="197"/>
      <c r="IB12" s="197"/>
      <c r="IC12" s="197"/>
      <c r="ID12" s="197"/>
      <c r="IE12" s="197"/>
      <c r="IF12" s="197"/>
      <c r="IG12" s="197"/>
      <c r="IH12" s="197"/>
      <c r="II12" s="197"/>
      <c r="IJ12" s="197"/>
      <c r="IK12" s="197"/>
      <c r="IL12" s="197"/>
      <c r="IM12" s="197"/>
      <c r="IN12" s="197"/>
      <c r="IO12" s="197"/>
      <c r="IP12" s="197"/>
      <c r="IQ12" s="197"/>
      <c r="IR12" s="197"/>
      <c r="IS12" s="197"/>
      <c r="IT12" s="197"/>
      <c r="IU12" s="197"/>
      <c r="IV12" s="197"/>
      <c r="IW12" s="197"/>
      <c r="IX12" s="197"/>
      <c r="IY12" s="197"/>
      <c r="IZ12" s="197"/>
      <c r="JA12" s="197"/>
      <c r="JB12" s="197"/>
      <c r="JC12" s="197"/>
      <c r="JD12" s="197"/>
      <c r="JE12" s="197"/>
      <c r="JF12" s="197"/>
      <c r="JG12" s="197"/>
      <c r="JH12" s="197"/>
      <c r="JI12" s="197"/>
      <c r="JJ12" s="197"/>
      <c r="JK12" s="197"/>
      <c r="JL12" s="197"/>
      <c r="JM12" s="197"/>
      <c r="JN12" s="197"/>
      <c r="JO12" s="197"/>
      <c r="JP12" s="197"/>
      <c r="JQ12" s="197"/>
      <c r="JR12" s="197"/>
      <c r="JS12" s="197"/>
      <c r="JT12" s="197"/>
      <c r="JU12" s="197"/>
      <c r="JV12" s="197"/>
      <c r="JW12" s="197"/>
      <c r="JX12" s="197"/>
      <c r="JY12" s="197"/>
      <c r="JZ12" s="197"/>
      <c r="KA12" s="197"/>
      <c r="KB12" s="197"/>
      <c r="KC12" s="197"/>
      <c r="KD12" s="197"/>
      <c r="KE12" s="197"/>
      <c r="KF12" s="197"/>
      <c r="KG12" s="197"/>
      <c r="KH12" s="197"/>
      <c r="KI12" s="197"/>
      <c r="KJ12" s="197"/>
      <c r="KK12" s="197"/>
      <c r="KL12" s="197"/>
      <c r="KM12" s="197"/>
      <c r="KN12" s="197"/>
      <c r="KO12" s="197"/>
      <c r="KP12" s="197"/>
      <c r="KQ12" s="197"/>
      <c r="KR12" s="197"/>
      <c r="KS12" s="197"/>
      <c r="KT12" s="197"/>
      <c r="KU12" s="197"/>
      <c r="KV12" s="197"/>
      <c r="KW12" s="197"/>
      <c r="KX12" s="197"/>
      <c r="KY12" s="197"/>
      <c r="KZ12" s="197"/>
      <c r="LA12" s="197"/>
      <c r="LB12" s="197"/>
      <c r="LC12" s="197"/>
      <c r="LD12" s="197"/>
      <c r="LE12" s="197"/>
      <c r="LF12" s="197"/>
      <c r="LG12" s="197"/>
      <c r="LH12" s="197"/>
      <c r="LI12" s="197"/>
      <c r="LJ12" s="197"/>
      <c r="LK12" s="197"/>
      <c r="LL12" s="197"/>
      <c r="LM12" s="197"/>
      <c r="LN12" s="197"/>
      <c r="LO12" s="197"/>
      <c r="LP12" s="197"/>
      <c r="LQ12" s="197"/>
      <c r="LR12" s="197"/>
      <c r="LS12" s="197"/>
      <c r="LT12" s="197"/>
      <c r="LU12" s="197"/>
      <c r="LV12" s="197"/>
      <c r="LW12" s="197"/>
      <c r="LX12" s="197"/>
      <c r="LY12" s="197"/>
      <c r="LZ12" s="197"/>
      <c r="MA12" s="197"/>
      <c r="MB12" s="197"/>
      <c r="MC12" s="197"/>
      <c r="MD12" s="197"/>
      <c r="ME12" s="197"/>
      <c r="MF12" s="197"/>
      <c r="MG12" s="197"/>
      <c r="MH12" s="197"/>
      <c r="MI12" s="197"/>
      <c r="MJ12" s="197"/>
      <c r="MK12" s="197"/>
      <c r="ML12" s="197"/>
      <c r="MM12" s="197"/>
      <c r="MN12" s="197"/>
      <c r="MO12" s="197"/>
      <c r="MP12" s="197"/>
      <c r="MQ12" s="197"/>
      <c r="MR12" s="197"/>
      <c r="MS12" s="197"/>
      <c r="MT12" s="197"/>
      <c r="MU12" s="197"/>
      <c r="MV12" s="197"/>
      <c r="MW12" s="197"/>
      <c r="MX12" s="197"/>
      <c r="MY12" s="197"/>
      <c r="MZ12" s="197"/>
      <c r="NA12" s="197"/>
      <c r="NB12" s="197"/>
      <c r="NC12" s="197"/>
      <c r="ND12" s="197"/>
      <c r="NE12" s="197"/>
      <c r="NF12" s="197"/>
      <c r="NG12" s="197"/>
      <c r="NH12" s="197"/>
      <c r="NI12" s="197"/>
      <c r="NJ12" s="197"/>
      <c r="NK12" s="197"/>
      <c r="NL12" s="197"/>
      <c r="NM12" s="197"/>
      <c r="NN12" s="197"/>
      <c r="NO12" s="197"/>
      <c r="NP12" s="197"/>
      <c r="NQ12" s="197"/>
      <c r="NR12" s="197"/>
      <c r="NS12" s="197"/>
      <c r="NT12" s="197"/>
      <c r="NU12" s="197"/>
      <c r="NV12" s="197"/>
      <c r="NW12" s="197"/>
      <c r="NX12" s="197"/>
      <c r="NY12" s="197"/>
      <c r="NZ12" s="197"/>
      <c r="OA12" s="197"/>
      <c r="OB12" s="197"/>
      <c r="OC12" s="197"/>
      <c r="OD12" s="197"/>
      <c r="OE12" s="197"/>
      <c r="OF12" s="197"/>
      <c r="OG12" s="197"/>
      <c r="OH12" s="197"/>
      <c r="OI12" s="197"/>
      <c r="OJ12" s="197"/>
      <c r="OK12" s="197"/>
      <c r="OL12" s="197"/>
      <c r="OM12" s="197"/>
      <c r="ON12" s="197"/>
      <c r="OO12" s="197"/>
      <c r="OP12" s="197"/>
      <c r="OQ12" s="197"/>
      <c r="OR12" s="197"/>
      <c r="OS12" s="197"/>
      <c r="OT12" s="197"/>
      <c r="OU12" s="197"/>
      <c r="OV12" s="197"/>
      <c r="OW12" s="197"/>
      <c r="OX12" s="197"/>
      <c r="OY12" s="197"/>
      <c r="OZ12" s="197"/>
      <c r="PA12" s="197"/>
      <c r="PB12" s="197"/>
      <c r="PC12" s="197"/>
      <c r="PD12" s="197"/>
      <c r="PE12" s="197"/>
      <c r="PF12" s="197"/>
      <c r="PG12" s="197"/>
      <c r="PH12" s="197"/>
      <c r="PI12" s="197"/>
      <c r="PJ12" s="197"/>
      <c r="PK12" s="197"/>
      <c r="PL12" s="197"/>
      <c r="PM12" s="197"/>
      <c r="PN12" s="197"/>
      <c r="PO12" s="197"/>
      <c r="PP12" s="197"/>
      <c r="PQ12" s="197"/>
      <c r="PR12" s="197"/>
      <c r="PS12" s="197"/>
      <c r="PT12" s="197"/>
      <c r="PU12" s="197"/>
      <c r="PV12" s="197"/>
      <c r="PW12" s="197"/>
      <c r="PX12" s="197"/>
      <c r="PY12" s="197"/>
      <c r="PZ12" s="197"/>
      <c r="QA12" s="197"/>
      <c r="QB12" s="197"/>
      <c r="QC12" s="197"/>
      <c r="QD12" s="197"/>
      <c r="QE12" s="197"/>
      <c r="QF12" s="197"/>
      <c r="QG12" s="197"/>
      <c r="QH12" s="197"/>
      <c r="QI12" s="197"/>
      <c r="QJ12" s="197"/>
      <c r="QK12" s="197"/>
      <c r="QL12" s="197"/>
      <c r="QM12" s="197"/>
      <c r="QN12" s="197"/>
      <c r="QO12" s="197"/>
      <c r="QP12" s="197"/>
      <c r="QQ12" s="197"/>
      <c r="QR12" s="197"/>
      <c r="QS12" s="197"/>
      <c r="QT12" s="197"/>
      <c r="QU12" s="197"/>
      <c r="QV12" s="197"/>
      <c r="QW12" s="197"/>
      <c r="QX12" s="197"/>
      <c r="QY12" s="197"/>
      <c r="QZ12" s="197"/>
      <c r="RA12" s="197"/>
      <c r="RB12" s="197"/>
      <c r="RC12" s="197"/>
      <c r="RD12" s="197"/>
      <c r="RE12" s="197"/>
      <c r="RF12" s="197"/>
      <c r="RG12" s="197"/>
      <c r="RH12" s="197"/>
      <c r="RI12" s="197"/>
      <c r="RJ12" s="197"/>
      <c r="RK12" s="197"/>
      <c r="RL12" s="197"/>
      <c r="RM12" s="197"/>
      <c r="RN12" s="197"/>
      <c r="RO12" s="197"/>
      <c r="RP12" s="197"/>
      <c r="RQ12" s="197"/>
      <c r="RR12" s="197"/>
      <c r="RS12" s="197"/>
      <c r="RT12" s="197"/>
      <c r="RU12" s="197"/>
      <c r="RV12" s="197"/>
      <c r="RW12" s="197"/>
      <c r="RX12" s="197"/>
      <c r="RY12" s="197"/>
      <c r="RZ12" s="197"/>
      <c r="SA12" s="197"/>
      <c r="SB12" s="197"/>
      <c r="SC12" s="197"/>
      <c r="SD12" s="197"/>
      <c r="SE12" s="197"/>
      <c r="SF12" s="197"/>
      <c r="SG12" s="197"/>
      <c r="SH12" s="197"/>
      <c r="SI12" s="197"/>
      <c r="SJ12" s="197"/>
      <c r="SK12" s="197"/>
      <c r="SL12" s="197"/>
      <c r="SM12" s="197"/>
      <c r="SN12" s="197"/>
      <c r="SO12" s="197"/>
      <c r="SP12" s="197"/>
      <c r="SQ12" s="197"/>
      <c r="SR12" s="197"/>
      <c r="SS12" s="197"/>
      <c r="ST12" s="197"/>
      <c r="SU12" s="197"/>
      <c r="SV12" s="197"/>
      <c r="SW12" s="197"/>
      <c r="SX12" s="197"/>
      <c r="SY12" s="197"/>
      <c r="SZ12" s="197"/>
      <c r="TA12" s="197"/>
      <c r="TB12" s="197"/>
      <c r="TC12" s="197"/>
      <c r="TD12" s="197"/>
      <c r="TE12" s="197"/>
      <c r="TF12" s="197"/>
      <c r="TG12" s="197"/>
      <c r="TH12" s="197"/>
      <c r="TI12" s="197"/>
      <c r="TJ12" s="197"/>
      <c r="TK12" s="197"/>
      <c r="TL12" s="197"/>
      <c r="TM12" s="197"/>
      <c r="TN12" s="197"/>
      <c r="TO12" s="197"/>
      <c r="TP12" s="197"/>
      <c r="TQ12" s="197"/>
      <c r="TR12" s="197"/>
      <c r="TS12" s="197"/>
      <c r="TT12" s="197"/>
      <c r="TU12" s="197"/>
      <c r="TV12" s="197"/>
      <c r="TW12" s="197"/>
      <c r="TX12" s="197"/>
      <c r="TY12" s="197"/>
      <c r="TZ12" s="197"/>
      <c r="UA12" s="197"/>
      <c r="UB12" s="197"/>
      <c r="UC12" s="197"/>
      <c r="UD12" s="197"/>
      <c r="UE12" s="197"/>
      <c r="UF12" s="197"/>
      <c r="UG12" s="197"/>
      <c r="UH12" s="197"/>
      <c r="UI12" s="197"/>
      <c r="UJ12" s="197"/>
      <c r="UK12" s="197"/>
      <c r="UL12" s="197"/>
      <c r="UM12" s="197"/>
      <c r="UN12" s="197"/>
      <c r="UO12" s="197"/>
      <c r="UP12" s="197"/>
      <c r="UQ12" s="197"/>
      <c r="UR12" s="197"/>
      <c r="US12" s="197"/>
      <c r="UT12" s="197"/>
      <c r="UU12" s="197"/>
      <c r="UV12" s="197"/>
      <c r="UW12" s="197"/>
      <c r="UX12" s="197"/>
      <c r="UY12" s="197"/>
      <c r="UZ12" s="197"/>
      <c r="VA12" s="197"/>
      <c r="VB12" s="197"/>
      <c r="VC12" s="197"/>
      <c r="VD12" s="197"/>
      <c r="VE12" s="197"/>
      <c r="VF12" s="197"/>
      <c r="VG12" s="197"/>
      <c r="VH12" s="197"/>
      <c r="VI12" s="197"/>
      <c r="VJ12" s="197"/>
      <c r="VK12" s="197"/>
      <c r="VL12" s="197"/>
      <c r="VM12" s="197"/>
      <c r="VN12" s="197"/>
      <c r="VO12" s="197"/>
      <c r="VP12" s="197"/>
      <c r="VQ12" s="197"/>
      <c r="VR12" s="197"/>
      <c r="VS12" s="197"/>
      <c r="VT12" s="197"/>
      <c r="VU12" s="197"/>
      <c r="VV12" s="197"/>
      <c r="VW12" s="197"/>
      <c r="VX12" s="197"/>
      <c r="VY12" s="197"/>
      <c r="VZ12" s="197"/>
      <c r="WA12" s="197"/>
      <c r="WB12" s="197"/>
      <c r="WC12" s="197"/>
      <c r="WD12" s="197"/>
      <c r="WE12" s="197"/>
      <c r="WF12" s="197"/>
      <c r="WG12" s="197"/>
      <c r="WH12" s="197"/>
      <c r="WI12" s="197"/>
      <c r="WJ12" s="197"/>
      <c r="WK12" s="197"/>
      <c r="WL12" s="197"/>
      <c r="WM12" s="197"/>
      <c r="WN12" s="197"/>
      <c r="WO12" s="197"/>
      <c r="WP12" s="197"/>
      <c r="WQ12" s="197"/>
      <c r="WR12" s="197"/>
      <c r="WS12" s="197"/>
      <c r="WT12" s="197"/>
      <c r="WU12" s="197"/>
      <c r="WV12" s="197"/>
      <c r="WW12" s="197"/>
      <c r="WX12" s="197"/>
      <c r="WY12" s="197"/>
      <c r="WZ12" s="197"/>
      <c r="XA12" s="197"/>
      <c r="XB12" s="197"/>
      <c r="XC12" s="197"/>
      <c r="XD12" s="197"/>
      <c r="XE12" s="197"/>
      <c r="XF12" s="197"/>
      <c r="XG12" s="197"/>
      <c r="XH12" s="197"/>
      <c r="XI12" s="197"/>
      <c r="XJ12" s="197"/>
      <c r="XK12" s="197"/>
      <c r="XL12" s="197"/>
      <c r="XM12" s="197"/>
      <c r="XN12" s="197"/>
      <c r="XO12" s="197"/>
      <c r="XP12" s="197"/>
      <c r="XQ12" s="197"/>
      <c r="XR12" s="197"/>
      <c r="XS12" s="197"/>
      <c r="XT12" s="197"/>
      <c r="XU12" s="197"/>
      <c r="XV12" s="197"/>
      <c r="XW12" s="197"/>
      <c r="XX12" s="197"/>
      <c r="XY12" s="197"/>
      <c r="XZ12" s="197"/>
      <c r="YA12" s="197"/>
      <c r="YB12" s="197"/>
      <c r="YC12" s="197"/>
      <c r="YD12" s="197"/>
      <c r="YE12" s="197"/>
      <c r="YF12" s="197"/>
      <c r="YG12" s="197"/>
      <c r="YH12" s="197"/>
      <c r="YI12" s="197"/>
      <c r="YJ12" s="197"/>
      <c r="YK12" s="197"/>
      <c r="YL12" s="197"/>
      <c r="YM12" s="197"/>
      <c r="YN12" s="197"/>
      <c r="YO12" s="197"/>
      <c r="YP12" s="197"/>
      <c r="YQ12" s="197"/>
      <c r="YR12" s="197"/>
      <c r="YS12" s="197"/>
      <c r="YT12" s="197"/>
      <c r="YU12" s="197"/>
      <c r="YV12" s="197"/>
      <c r="YW12" s="197"/>
      <c r="YX12" s="197"/>
      <c r="YY12" s="197"/>
      <c r="YZ12" s="197"/>
      <c r="ZA12" s="197"/>
      <c r="ZB12" s="197"/>
      <c r="ZC12" s="197"/>
      <c r="ZD12" s="197"/>
      <c r="ZE12" s="197"/>
      <c r="ZF12" s="197"/>
      <c r="ZG12" s="197"/>
      <c r="ZH12" s="197"/>
      <c r="ZI12" s="197"/>
      <c r="ZJ12" s="197"/>
      <c r="ZK12" s="197"/>
      <c r="ZL12" s="197"/>
      <c r="ZM12" s="197"/>
      <c r="ZN12" s="197"/>
      <c r="ZO12" s="197"/>
      <c r="ZP12" s="197"/>
      <c r="ZQ12" s="197"/>
      <c r="ZR12" s="197"/>
      <c r="ZS12" s="197"/>
      <c r="ZT12" s="197"/>
      <c r="ZU12" s="197"/>
      <c r="ZV12" s="197"/>
      <c r="ZW12" s="197"/>
      <c r="ZX12" s="197"/>
      <c r="ZY12" s="197"/>
      <c r="ZZ12" s="197"/>
      <c r="AAA12" s="197"/>
      <c r="AAB12" s="197"/>
      <c r="AAC12" s="197"/>
      <c r="AAD12" s="197"/>
      <c r="AAE12" s="197"/>
      <c r="AAF12" s="197"/>
      <c r="AAG12" s="197"/>
      <c r="AAH12" s="197"/>
      <c r="AAI12" s="197"/>
      <c r="AAJ12" s="197"/>
      <c r="AAK12" s="197"/>
      <c r="AAL12" s="197"/>
      <c r="AAM12" s="197"/>
      <c r="AAN12" s="197"/>
      <c r="AAO12" s="197"/>
      <c r="AAP12" s="197"/>
      <c r="AAQ12" s="197"/>
      <c r="AAR12" s="197"/>
      <c r="AAS12" s="197"/>
      <c r="AAT12" s="197"/>
      <c r="AAU12" s="197"/>
      <c r="AAV12" s="197"/>
      <c r="AAW12" s="197"/>
      <c r="AAX12" s="197"/>
      <c r="AAY12" s="197"/>
      <c r="AAZ12" s="197"/>
      <c r="ABA12" s="197"/>
      <c r="ABB12" s="197"/>
      <c r="ABC12" s="197"/>
      <c r="ABD12" s="197"/>
      <c r="ABE12" s="197"/>
      <c r="ABF12" s="197"/>
      <c r="ABG12" s="197"/>
      <c r="ABH12" s="197"/>
      <c r="ABI12" s="197"/>
      <c r="ABJ12" s="197"/>
      <c r="ABK12" s="197"/>
      <c r="ABL12" s="197"/>
      <c r="ABM12" s="197"/>
      <c r="ABN12" s="197"/>
      <c r="ABO12" s="197"/>
      <c r="ABP12" s="197"/>
      <c r="ABQ12" s="197"/>
      <c r="ABR12" s="197"/>
      <c r="ABS12" s="197"/>
      <c r="ABT12" s="197"/>
      <c r="ABU12" s="197"/>
      <c r="ABV12" s="197"/>
      <c r="ABW12" s="197"/>
      <c r="ABX12" s="197"/>
      <c r="ABY12" s="197"/>
      <c r="ABZ12" s="197"/>
      <c r="ACA12" s="197"/>
      <c r="ACB12" s="197"/>
      <c r="ACC12" s="197"/>
      <c r="ACD12" s="197"/>
      <c r="ACE12" s="197"/>
      <c r="ACF12" s="197"/>
      <c r="ACG12" s="197"/>
      <c r="ACH12" s="197"/>
      <c r="ACI12" s="197"/>
      <c r="ACJ12" s="197"/>
      <c r="ACK12" s="197"/>
      <c r="ACL12" s="197"/>
      <c r="ACM12" s="197"/>
      <c r="ACN12" s="197"/>
      <c r="ACO12" s="197"/>
      <c r="ACP12" s="197"/>
      <c r="ACQ12" s="197"/>
      <c r="ACR12" s="197"/>
      <c r="ACS12" s="197"/>
      <c r="ACT12" s="197"/>
      <c r="ACU12" s="197"/>
      <c r="ACV12" s="197"/>
      <c r="ACW12" s="197"/>
      <c r="ACX12" s="197"/>
      <c r="ACY12" s="197"/>
      <c r="ACZ12" s="197"/>
      <c r="ADA12" s="197"/>
      <c r="ADB12" s="197"/>
      <c r="ADC12" s="197"/>
      <c r="ADD12" s="197"/>
      <c r="ADE12" s="197"/>
      <c r="ADF12" s="197"/>
      <c r="ADG12" s="197"/>
      <c r="ADH12" s="197"/>
      <c r="ADI12" s="197"/>
      <c r="ADJ12" s="197"/>
      <c r="ADK12" s="197"/>
      <c r="ADL12" s="197"/>
      <c r="ADM12" s="197"/>
      <c r="ADN12" s="197"/>
      <c r="ADO12" s="197"/>
      <c r="ADP12" s="197"/>
      <c r="ADQ12" s="197"/>
      <c r="ADR12" s="197"/>
      <c r="ADS12" s="197"/>
      <c r="ADT12" s="197"/>
      <c r="ADU12" s="197"/>
      <c r="ADV12" s="197"/>
      <c r="ADW12" s="197"/>
      <c r="ADX12" s="197"/>
      <c r="ADY12" s="197"/>
      <c r="ADZ12" s="197"/>
      <c r="AEA12" s="197"/>
      <c r="AEB12" s="197"/>
      <c r="AEC12" s="197"/>
      <c r="AED12" s="197"/>
      <c r="AEE12" s="197"/>
      <c r="AEF12" s="197"/>
      <c r="AEG12" s="197"/>
      <c r="AEH12" s="197"/>
      <c r="AEI12" s="197"/>
      <c r="AEJ12" s="197"/>
      <c r="AEK12" s="197"/>
      <c r="AEL12" s="197"/>
      <c r="AEM12" s="197"/>
      <c r="AEN12" s="197"/>
      <c r="AEO12" s="197"/>
      <c r="AEP12" s="197"/>
      <c r="AEQ12" s="197"/>
      <c r="AER12" s="197"/>
      <c r="AES12" s="197"/>
      <c r="AET12" s="197"/>
      <c r="AEU12" s="197"/>
      <c r="AEV12" s="197"/>
      <c r="AEW12" s="197"/>
      <c r="AEX12" s="197"/>
      <c r="AEY12" s="197"/>
      <c r="AEZ12" s="197"/>
      <c r="AFA12" s="197"/>
      <c r="AFB12" s="197"/>
      <c r="AFC12" s="197"/>
      <c r="AFD12" s="197"/>
      <c r="AFE12" s="197"/>
      <c r="AFF12" s="197"/>
      <c r="AFG12" s="197"/>
      <c r="AFH12" s="197"/>
      <c r="AFI12" s="197"/>
      <c r="AFJ12" s="197"/>
      <c r="AFK12" s="197"/>
      <c r="AFL12" s="197"/>
      <c r="AFM12" s="197"/>
      <c r="AFN12" s="197"/>
      <c r="AFO12" s="197"/>
      <c r="AFP12" s="197"/>
      <c r="AFQ12" s="197"/>
      <c r="AFR12" s="197"/>
      <c r="AFS12" s="197"/>
      <c r="AFT12" s="197"/>
      <c r="AFU12" s="197"/>
      <c r="AFV12" s="197"/>
      <c r="AFW12" s="197"/>
      <c r="AFX12" s="197"/>
      <c r="AFY12" s="197"/>
      <c r="AFZ12" s="197"/>
      <c r="AGA12" s="197"/>
      <c r="AGB12" s="197"/>
      <c r="AGC12" s="197"/>
      <c r="AGD12" s="197"/>
      <c r="AGE12" s="197"/>
      <c r="AGF12" s="197"/>
      <c r="AGG12" s="197"/>
      <c r="AGH12" s="197"/>
      <c r="AGI12" s="197"/>
      <c r="AGJ12" s="197"/>
      <c r="AGK12" s="197"/>
      <c r="AGL12" s="197"/>
      <c r="AGM12" s="197"/>
      <c r="AGN12" s="197"/>
      <c r="AGO12" s="197"/>
      <c r="AGP12" s="197"/>
      <c r="AGQ12" s="197"/>
      <c r="AGR12" s="197"/>
      <c r="AGS12" s="197"/>
      <c r="AGT12" s="197"/>
      <c r="AGU12" s="197"/>
      <c r="AGV12" s="197"/>
      <c r="AGW12" s="197"/>
      <c r="AGX12" s="197"/>
      <c r="AGY12" s="197"/>
      <c r="AGZ12" s="197"/>
      <c r="AHA12" s="197"/>
      <c r="AHB12" s="197"/>
      <c r="AHC12" s="197"/>
      <c r="AHD12" s="197"/>
      <c r="AHE12" s="197"/>
      <c r="AHF12" s="197"/>
      <c r="AHG12" s="197"/>
      <c r="AHH12" s="197"/>
      <c r="AHI12" s="197"/>
      <c r="AHJ12" s="197"/>
      <c r="AHK12" s="197"/>
      <c r="AHL12" s="197"/>
      <c r="AHM12" s="197"/>
      <c r="AHN12" s="197"/>
      <c r="AHO12" s="197"/>
      <c r="AHP12" s="197"/>
      <c r="AHQ12" s="197"/>
      <c r="AHR12" s="197"/>
      <c r="AHS12" s="197"/>
      <c r="AHT12" s="197"/>
      <c r="AHU12" s="197"/>
      <c r="AHV12" s="197"/>
      <c r="AHW12" s="197"/>
      <c r="AHX12" s="197"/>
      <c r="AHY12" s="197"/>
      <c r="AHZ12" s="197"/>
      <c r="AIA12" s="197"/>
      <c r="AIB12" s="197"/>
      <c r="AIC12" s="197"/>
      <c r="AID12" s="197"/>
      <c r="AIE12" s="197"/>
      <c r="AIF12" s="197"/>
      <c r="AIG12" s="197"/>
      <c r="AIH12" s="197"/>
      <c r="AII12" s="197"/>
      <c r="AIJ12" s="197"/>
      <c r="AIK12" s="197"/>
      <c r="AIL12" s="197"/>
      <c r="AIM12" s="197"/>
      <c r="AIN12" s="197"/>
      <c r="AIO12" s="197"/>
      <c r="AIP12" s="197"/>
      <c r="AIQ12" s="197"/>
      <c r="AIR12" s="197"/>
      <c r="AIS12" s="197"/>
      <c r="AIT12" s="197"/>
      <c r="AIU12" s="197"/>
      <c r="AIV12" s="197"/>
      <c r="AIW12" s="197"/>
      <c r="AIX12" s="197"/>
      <c r="AIY12" s="197"/>
      <c r="AIZ12" s="197"/>
      <c r="AJA12" s="197"/>
      <c r="AJB12" s="197"/>
      <c r="AJC12" s="197"/>
      <c r="AJD12" s="197"/>
      <c r="AJE12" s="197"/>
      <c r="AJF12" s="197"/>
      <c r="AJG12" s="197"/>
      <c r="AJH12" s="197"/>
      <c r="AJI12" s="197"/>
      <c r="AJJ12" s="197"/>
      <c r="AJK12" s="197"/>
      <c r="AJL12" s="197"/>
      <c r="AJM12" s="197"/>
      <c r="AJN12" s="197"/>
      <c r="AJO12" s="197"/>
      <c r="AJP12" s="197"/>
      <c r="AJQ12" s="197"/>
      <c r="AJR12" s="197"/>
      <c r="AJS12" s="197"/>
      <c r="AJT12" s="197"/>
      <c r="AJU12" s="197"/>
      <c r="AJV12" s="197"/>
      <c r="AJW12" s="197"/>
      <c r="AJX12" s="197"/>
      <c r="AJY12" s="197"/>
      <c r="AJZ12" s="197"/>
      <c r="AKA12" s="197"/>
      <c r="AKB12" s="197"/>
      <c r="AKC12" s="197"/>
      <c r="AKD12" s="197"/>
      <c r="AKE12" s="197"/>
      <c r="AKF12" s="197"/>
      <c r="AKG12" s="197"/>
      <c r="AKH12" s="197"/>
      <c r="AKI12" s="197"/>
      <c r="AKJ12" s="197"/>
      <c r="AKK12" s="197"/>
      <c r="AKL12" s="197"/>
      <c r="AKM12" s="197"/>
      <c r="AKN12" s="197"/>
      <c r="AKO12" s="197"/>
      <c r="AKP12" s="197"/>
      <c r="AKQ12" s="197"/>
      <c r="AKR12" s="197"/>
      <c r="AKS12" s="197"/>
      <c r="AKT12" s="197"/>
      <c r="AKU12" s="197"/>
      <c r="AKV12" s="197"/>
      <c r="AKW12" s="197"/>
      <c r="AKX12" s="197"/>
      <c r="AKY12" s="197"/>
      <c r="AKZ12" s="197"/>
      <c r="ALA12" s="197"/>
      <c r="ALB12" s="197"/>
      <c r="ALC12" s="197"/>
      <c r="ALD12" s="197"/>
      <c r="ALE12" s="197"/>
      <c r="ALF12" s="197"/>
      <c r="ALG12" s="197"/>
      <c r="ALH12" s="197"/>
      <c r="ALI12" s="197"/>
      <c r="ALJ12" s="197"/>
      <c r="ALK12" s="197"/>
      <c r="ALL12" s="197"/>
      <c r="ALM12" s="197"/>
      <c r="ALN12" s="197"/>
      <c r="ALO12" s="197"/>
      <c r="ALP12" s="197"/>
      <c r="ALQ12" s="197"/>
      <c r="ALR12" s="197"/>
      <c r="ALS12" s="197"/>
      <c r="ALT12" s="197"/>
      <c r="ALU12" s="197"/>
      <c r="ALV12" s="197"/>
      <c r="ALW12" s="197"/>
      <c r="ALX12" s="197"/>
      <c r="ALY12" s="197"/>
      <c r="ALZ12" s="197"/>
      <c r="AMA12" s="197"/>
      <c r="AMB12" s="197"/>
      <c r="AMC12" s="197"/>
      <c r="AMD12" s="197"/>
      <c r="AME12" s="197"/>
      <c r="AMF12" s="197"/>
      <c r="AMG12" s="197"/>
      <c r="AMH12" s="197"/>
      <c r="AMI12" s="197"/>
      <c r="AMJ12" s="197"/>
      <c r="AMK12" s="197"/>
      <c r="AML12" s="197"/>
      <c r="AMM12" s="197"/>
      <c r="AMN12" s="197"/>
      <c r="AMO12" s="197"/>
      <c r="AMP12" s="197"/>
      <c r="AMQ12" s="197"/>
      <c r="AMR12" s="197"/>
      <c r="AMS12" s="197"/>
      <c r="AMT12" s="197"/>
      <c r="AMU12" s="197"/>
      <c r="AMV12" s="197"/>
      <c r="AMW12" s="197"/>
      <c r="AMX12" s="197"/>
      <c r="AMY12" s="197"/>
      <c r="AMZ12" s="197"/>
      <c r="ANA12" s="197"/>
      <c r="ANB12" s="197"/>
      <c r="ANC12" s="197"/>
      <c r="AND12" s="197"/>
      <c r="ANE12" s="197"/>
      <c r="ANF12" s="197"/>
      <c r="ANG12" s="197"/>
      <c r="ANH12" s="197"/>
      <c r="ANI12" s="197"/>
      <c r="ANJ12" s="197"/>
      <c r="ANK12" s="197"/>
      <c r="ANL12" s="197"/>
      <c r="ANM12" s="197"/>
      <c r="ANN12" s="197"/>
      <c r="ANO12" s="197"/>
      <c r="ANP12" s="197"/>
      <c r="ANQ12" s="197"/>
      <c r="ANR12" s="197"/>
      <c r="ANS12" s="197"/>
      <c r="ANT12" s="197"/>
      <c r="ANU12" s="197"/>
      <c r="ANV12" s="197"/>
      <c r="ANW12" s="197"/>
      <c r="ANX12" s="197"/>
      <c r="ANY12" s="197"/>
      <c r="ANZ12" s="197"/>
      <c r="AOA12" s="197"/>
      <c r="AOB12" s="197"/>
      <c r="AOC12" s="197"/>
      <c r="AOD12" s="197"/>
      <c r="AOE12" s="197"/>
      <c r="AOF12" s="197"/>
      <c r="AOG12" s="197"/>
      <c r="AOH12" s="197"/>
      <c r="AOI12" s="197"/>
      <c r="AOJ12" s="197"/>
      <c r="AOK12" s="197"/>
      <c r="AOL12" s="197"/>
      <c r="AOM12" s="197"/>
      <c r="AON12" s="197"/>
      <c r="AOO12" s="197"/>
      <c r="AOP12" s="197"/>
      <c r="AOQ12" s="197"/>
      <c r="AOR12" s="197"/>
      <c r="AOS12" s="197"/>
      <c r="AOT12" s="197"/>
      <c r="AOU12" s="197"/>
      <c r="AOV12" s="197"/>
      <c r="AOW12" s="197"/>
      <c r="AOX12" s="197"/>
      <c r="AOY12" s="197"/>
      <c r="AOZ12" s="197"/>
      <c r="APA12" s="197"/>
      <c r="APB12" s="197"/>
      <c r="APC12" s="197"/>
      <c r="APD12" s="197"/>
      <c r="APE12" s="197"/>
      <c r="APF12" s="197"/>
      <c r="APG12" s="197"/>
      <c r="APH12" s="197"/>
      <c r="API12" s="197"/>
      <c r="APJ12" s="197"/>
      <c r="APK12" s="197"/>
      <c r="APL12" s="197"/>
      <c r="APM12" s="197"/>
      <c r="APN12" s="197"/>
      <c r="APO12" s="197"/>
      <c r="APP12" s="197"/>
      <c r="APQ12" s="197"/>
      <c r="APR12" s="197"/>
      <c r="APS12" s="197"/>
      <c r="APT12" s="197"/>
      <c r="APU12" s="197"/>
      <c r="APV12" s="197"/>
      <c r="APW12" s="197"/>
      <c r="APX12" s="197"/>
      <c r="APY12" s="197"/>
      <c r="APZ12" s="197"/>
      <c r="AQA12" s="197"/>
      <c r="AQB12" s="197"/>
      <c r="AQC12" s="197"/>
      <c r="AQD12" s="197"/>
      <c r="AQE12" s="197"/>
      <c r="AQF12" s="197"/>
      <c r="AQG12" s="197"/>
      <c r="AQH12" s="197"/>
      <c r="AQI12" s="197"/>
      <c r="AQJ12" s="197"/>
      <c r="AQK12" s="197"/>
      <c r="AQL12" s="197"/>
      <c r="AQM12" s="197"/>
      <c r="AQN12" s="197"/>
      <c r="AQO12" s="197"/>
      <c r="AQP12" s="197"/>
      <c r="AQQ12" s="197"/>
      <c r="AQR12" s="197"/>
      <c r="AQS12" s="197"/>
      <c r="AQT12" s="197"/>
      <c r="AQU12" s="197"/>
      <c r="AQV12" s="197"/>
      <c r="AQW12" s="197"/>
      <c r="AQX12" s="197"/>
      <c r="AQY12" s="197"/>
      <c r="AQZ12" s="197"/>
      <c r="ARA12" s="197"/>
      <c r="ARB12" s="197"/>
      <c r="ARC12" s="197"/>
      <c r="ARD12" s="197"/>
      <c r="ARE12" s="197"/>
      <c r="ARF12" s="197"/>
      <c r="ARG12" s="197"/>
      <c r="ARH12" s="197"/>
      <c r="ARI12" s="197"/>
      <c r="ARJ12" s="197"/>
      <c r="ARK12" s="197"/>
      <c r="ARL12" s="197"/>
      <c r="ARM12" s="197"/>
      <c r="ARN12" s="197"/>
      <c r="ARO12" s="197"/>
      <c r="ARP12" s="197"/>
      <c r="ARQ12" s="197"/>
      <c r="ARR12" s="197"/>
      <c r="ARS12" s="197"/>
      <c r="ART12" s="197"/>
      <c r="ARU12" s="197"/>
      <c r="ARV12" s="197"/>
      <c r="ARW12" s="197"/>
      <c r="ARX12" s="197"/>
      <c r="ARY12" s="197"/>
      <c r="ARZ12" s="197"/>
      <c r="ASA12" s="197"/>
      <c r="ASB12" s="197"/>
      <c r="ASC12" s="197"/>
      <c r="ASD12" s="197"/>
      <c r="ASE12" s="197"/>
      <c r="ASF12" s="197"/>
      <c r="ASG12" s="197"/>
      <c r="ASH12" s="197"/>
      <c r="ASI12" s="197"/>
      <c r="ASJ12" s="197"/>
      <c r="ASK12" s="197"/>
      <c r="ASL12" s="197"/>
      <c r="ASM12" s="197"/>
      <c r="ASN12" s="197"/>
      <c r="ASO12" s="197"/>
      <c r="ASP12" s="197"/>
      <c r="ASQ12" s="197"/>
      <c r="ASR12" s="197"/>
      <c r="ASS12" s="197"/>
      <c r="AST12" s="197"/>
      <c r="ASU12" s="197"/>
      <c r="ASV12" s="197"/>
      <c r="ASW12" s="197"/>
      <c r="ASX12" s="197"/>
      <c r="ASY12" s="197"/>
      <c r="ASZ12" s="197"/>
      <c r="ATA12" s="197"/>
      <c r="ATB12" s="197"/>
      <c r="ATC12" s="197"/>
      <c r="ATD12" s="197"/>
      <c r="ATE12" s="197"/>
      <c r="ATF12" s="197"/>
      <c r="ATG12" s="197"/>
      <c r="ATH12" s="197"/>
      <c r="ATI12" s="197"/>
      <c r="ATJ12" s="197"/>
      <c r="ATK12" s="197"/>
      <c r="ATL12" s="197"/>
      <c r="ATM12" s="197"/>
      <c r="ATN12" s="197"/>
      <c r="ATO12" s="197"/>
      <c r="ATP12" s="197"/>
      <c r="ATQ12" s="197"/>
      <c r="ATR12" s="197"/>
      <c r="ATS12" s="197"/>
      <c r="ATT12" s="197"/>
      <c r="ATU12" s="197"/>
      <c r="ATV12" s="197"/>
      <c r="ATW12" s="197"/>
      <c r="ATX12" s="197"/>
      <c r="ATY12" s="197"/>
      <c r="ATZ12" s="197"/>
      <c r="AUA12" s="197"/>
      <c r="AUB12" s="197"/>
      <c r="AUC12" s="197"/>
      <c r="AUD12" s="197"/>
      <c r="AUE12" s="197"/>
      <c r="AUF12" s="197"/>
      <c r="AUG12" s="197"/>
      <c r="AUH12" s="197"/>
      <c r="AUI12" s="197"/>
      <c r="AUJ12" s="197"/>
      <c r="AUK12" s="197"/>
      <c r="AUL12" s="197"/>
      <c r="AUM12" s="197"/>
      <c r="AUN12" s="197"/>
      <c r="AUO12" s="197"/>
      <c r="AUP12" s="197"/>
      <c r="AUQ12" s="197"/>
      <c r="AUR12" s="197"/>
      <c r="AUS12" s="197"/>
      <c r="AUT12" s="197"/>
      <c r="AUU12" s="197"/>
      <c r="AUV12" s="197"/>
      <c r="AUW12" s="197"/>
      <c r="AUX12" s="197"/>
      <c r="AUY12" s="197"/>
      <c r="AUZ12" s="197"/>
      <c r="AVA12" s="197"/>
      <c r="AVB12" s="197"/>
      <c r="AVC12" s="197"/>
      <c r="AVD12" s="197"/>
      <c r="AVE12" s="197"/>
      <c r="AVF12" s="197"/>
      <c r="AVG12" s="197"/>
      <c r="AVH12" s="197"/>
      <c r="AVI12" s="197"/>
      <c r="AVJ12" s="197"/>
      <c r="AVK12" s="197"/>
      <c r="AVL12" s="197"/>
      <c r="AVM12" s="197"/>
      <c r="AVN12" s="197"/>
      <c r="AVO12" s="197"/>
      <c r="AVP12" s="197"/>
      <c r="AVQ12" s="197"/>
      <c r="AVR12" s="197"/>
      <c r="AVS12" s="197"/>
      <c r="AVT12" s="197"/>
      <c r="AVU12" s="197"/>
      <c r="AVV12" s="197"/>
      <c r="AVW12" s="197"/>
      <c r="AVX12" s="197"/>
      <c r="AVY12" s="197"/>
      <c r="AVZ12" s="197"/>
      <c r="AWA12" s="197"/>
      <c r="AWB12" s="197"/>
      <c r="AWC12" s="197"/>
      <c r="AWD12" s="197"/>
      <c r="AWE12" s="197"/>
      <c r="AWF12" s="197"/>
      <c r="AWG12" s="197"/>
      <c r="AWH12" s="197"/>
      <c r="AWI12" s="197"/>
      <c r="AWJ12" s="197"/>
      <c r="AWK12" s="197"/>
      <c r="AWL12" s="197"/>
      <c r="AWM12" s="197"/>
      <c r="AWN12" s="197"/>
      <c r="AWO12" s="197"/>
      <c r="AWP12" s="197"/>
      <c r="AWQ12" s="197"/>
      <c r="AWR12" s="197"/>
      <c r="AWS12" s="197"/>
      <c r="AWT12" s="197"/>
      <c r="AWU12" s="197"/>
      <c r="AWV12" s="197"/>
      <c r="AWW12" s="197"/>
      <c r="AWX12" s="197"/>
      <c r="AWY12" s="197"/>
      <c r="AWZ12" s="197"/>
      <c r="AXA12" s="197"/>
      <c r="AXB12" s="197"/>
      <c r="AXC12" s="197"/>
      <c r="AXD12" s="197"/>
      <c r="AXE12" s="197"/>
      <c r="AXF12" s="197"/>
      <c r="AXG12" s="197"/>
      <c r="AXH12" s="197"/>
      <c r="AXI12" s="197"/>
      <c r="AXJ12" s="197"/>
      <c r="AXK12" s="197"/>
      <c r="AXL12" s="197"/>
      <c r="AXM12" s="197"/>
      <c r="AXN12" s="197"/>
      <c r="AXO12" s="197"/>
      <c r="AXP12" s="197"/>
      <c r="AXQ12" s="197"/>
      <c r="AXR12" s="197"/>
      <c r="AXS12" s="197"/>
      <c r="AXT12" s="197"/>
      <c r="AXU12" s="197"/>
      <c r="AXV12" s="197"/>
      <c r="AXW12" s="197"/>
      <c r="AXX12" s="197"/>
      <c r="AXY12" s="197"/>
      <c r="AXZ12" s="197"/>
      <c r="AYA12" s="197"/>
      <c r="AYB12" s="197"/>
      <c r="AYC12" s="197"/>
      <c r="AYD12" s="197"/>
      <c r="AYE12" s="197"/>
      <c r="AYF12" s="197"/>
      <c r="AYG12" s="197"/>
      <c r="AYH12" s="197"/>
      <c r="AYI12" s="197"/>
      <c r="AYJ12" s="197"/>
      <c r="AYK12" s="197"/>
      <c r="AYL12" s="197"/>
      <c r="AYM12" s="197"/>
      <c r="AYN12" s="197"/>
      <c r="AYO12" s="197"/>
      <c r="AYP12" s="197"/>
      <c r="AYQ12" s="197"/>
      <c r="AYR12" s="197"/>
      <c r="AYS12" s="197"/>
      <c r="AYT12" s="197"/>
      <c r="AYU12" s="197"/>
      <c r="AYV12" s="197"/>
      <c r="AYW12" s="197"/>
      <c r="AYX12" s="197"/>
      <c r="AYY12" s="197"/>
      <c r="AYZ12" s="197"/>
      <c r="AZA12" s="197"/>
      <c r="AZB12" s="197"/>
      <c r="AZC12" s="197"/>
      <c r="AZD12" s="197"/>
      <c r="AZE12" s="197"/>
      <c r="AZF12" s="197"/>
      <c r="AZG12" s="197"/>
      <c r="AZH12" s="197"/>
      <c r="AZI12" s="197"/>
      <c r="AZJ12" s="197"/>
      <c r="AZK12" s="197"/>
      <c r="AZL12" s="197"/>
      <c r="AZM12" s="197"/>
      <c r="AZN12" s="197"/>
      <c r="AZO12" s="197"/>
      <c r="AZP12" s="197"/>
      <c r="AZQ12" s="197"/>
      <c r="AZR12" s="197"/>
      <c r="AZS12" s="197"/>
      <c r="AZT12" s="197"/>
      <c r="AZU12" s="197"/>
      <c r="AZV12" s="197"/>
      <c r="AZW12" s="197"/>
      <c r="AZX12" s="197"/>
      <c r="AZY12" s="197"/>
      <c r="AZZ12" s="197"/>
      <c r="BAA12" s="197"/>
      <c r="BAB12" s="197"/>
      <c r="BAC12" s="197"/>
      <c r="BAD12" s="197"/>
      <c r="BAE12" s="197"/>
      <c r="BAF12" s="197"/>
      <c r="BAG12" s="197"/>
      <c r="BAH12" s="197"/>
      <c r="BAI12" s="197"/>
      <c r="BAJ12" s="197"/>
      <c r="BAK12" s="197"/>
      <c r="BAL12" s="197"/>
      <c r="BAM12" s="197"/>
      <c r="BAN12" s="197"/>
      <c r="BAO12" s="197"/>
      <c r="BAP12" s="197"/>
      <c r="BAQ12" s="197"/>
      <c r="BAR12" s="197"/>
      <c r="BAS12" s="197"/>
      <c r="BAT12" s="197"/>
      <c r="BAU12" s="197"/>
      <c r="BAV12" s="197"/>
      <c r="BAW12" s="197"/>
      <c r="BAX12" s="197"/>
      <c r="BAY12" s="197"/>
      <c r="BAZ12" s="197"/>
      <c r="BBA12" s="197"/>
      <c r="BBB12" s="197"/>
      <c r="BBC12" s="197"/>
      <c r="BBD12" s="197"/>
      <c r="BBE12" s="197"/>
      <c r="BBF12" s="197"/>
      <c r="BBG12" s="197"/>
      <c r="BBH12" s="197"/>
      <c r="BBI12" s="197"/>
      <c r="BBJ12" s="197"/>
      <c r="BBK12" s="197"/>
      <c r="BBL12" s="197"/>
      <c r="BBM12" s="197"/>
      <c r="BBN12" s="197"/>
      <c r="BBO12" s="197"/>
      <c r="BBP12" s="197"/>
      <c r="BBQ12" s="197"/>
      <c r="BBR12" s="197"/>
      <c r="BBS12" s="197"/>
      <c r="BBT12" s="197"/>
      <c r="BBU12" s="197"/>
      <c r="BBV12" s="197"/>
      <c r="BBW12" s="197"/>
      <c r="BBX12" s="197"/>
      <c r="BBY12" s="197"/>
      <c r="BBZ12" s="197"/>
      <c r="BCA12" s="197"/>
      <c r="BCB12" s="197"/>
      <c r="BCC12" s="197"/>
      <c r="BCD12" s="197"/>
      <c r="BCE12" s="197"/>
      <c r="BCF12" s="197"/>
      <c r="BCG12" s="197"/>
      <c r="BCH12" s="197"/>
      <c r="BCI12" s="197"/>
      <c r="BCJ12" s="197"/>
      <c r="BCK12" s="197"/>
      <c r="BCL12" s="197"/>
      <c r="BCM12" s="197"/>
      <c r="BCN12" s="197"/>
      <c r="BCO12" s="197"/>
      <c r="BCP12" s="197"/>
      <c r="BCQ12" s="197"/>
      <c r="BCR12" s="197"/>
      <c r="BCS12" s="197"/>
      <c r="BCT12" s="197"/>
      <c r="BCU12" s="197"/>
      <c r="BCV12" s="197"/>
      <c r="BCW12" s="197"/>
      <c r="BCX12" s="197"/>
      <c r="BCY12" s="197"/>
      <c r="BCZ12" s="197"/>
      <c r="BDA12" s="197"/>
      <c r="BDB12" s="197"/>
      <c r="BDC12" s="197"/>
      <c r="BDD12" s="197"/>
      <c r="BDE12" s="197"/>
      <c r="BDF12" s="197"/>
      <c r="BDG12" s="197"/>
      <c r="BDH12" s="197"/>
      <c r="BDI12" s="197"/>
      <c r="BDJ12" s="197"/>
      <c r="BDK12" s="197"/>
      <c r="BDL12" s="197"/>
      <c r="BDM12" s="197"/>
      <c r="BDN12" s="197"/>
      <c r="BDO12" s="197"/>
      <c r="BDP12" s="197"/>
      <c r="BDQ12" s="197"/>
      <c r="BDR12" s="197"/>
      <c r="BDS12" s="197"/>
      <c r="BDT12" s="197"/>
      <c r="BDU12" s="197"/>
      <c r="BDV12" s="197"/>
      <c r="BDW12" s="197"/>
      <c r="BDX12" s="197"/>
      <c r="BDY12" s="197"/>
      <c r="BDZ12" s="197"/>
      <c r="BEA12" s="197"/>
      <c r="BEB12" s="197"/>
      <c r="BEC12" s="197"/>
      <c r="BED12" s="197"/>
      <c r="BEE12" s="197"/>
      <c r="BEF12" s="197"/>
      <c r="BEG12" s="197"/>
      <c r="BEH12" s="197"/>
      <c r="BEI12" s="197"/>
      <c r="BEJ12" s="197"/>
      <c r="BEK12" s="197"/>
      <c r="BEL12" s="197"/>
      <c r="BEM12" s="197"/>
      <c r="BEN12" s="197"/>
      <c r="BEO12" s="197"/>
      <c r="BEP12" s="197"/>
      <c r="BEQ12" s="197"/>
      <c r="BER12" s="197"/>
      <c r="BES12" s="197"/>
      <c r="BET12" s="197"/>
      <c r="BEU12" s="197"/>
      <c r="BEV12" s="197"/>
      <c r="BEW12" s="197"/>
      <c r="BEX12" s="197"/>
      <c r="BEY12" s="197"/>
      <c r="BEZ12" s="197"/>
      <c r="BFA12" s="197"/>
      <c r="BFB12" s="197"/>
      <c r="BFC12" s="197"/>
      <c r="BFD12" s="197"/>
      <c r="BFE12" s="197"/>
      <c r="BFF12" s="197"/>
      <c r="BFG12" s="197"/>
      <c r="BFH12" s="197"/>
      <c r="BFI12" s="197"/>
      <c r="BFJ12" s="197"/>
      <c r="BFK12" s="197"/>
      <c r="BFL12" s="197"/>
      <c r="BFM12" s="197"/>
      <c r="BFN12" s="197"/>
      <c r="BFO12" s="197"/>
      <c r="BFP12" s="197"/>
      <c r="BFQ12" s="197"/>
      <c r="BFR12" s="197"/>
      <c r="BFS12" s="197"/>
      <c r="BFT12" s="197"/>
      <c r="BFU12" s="197"/>
      <c r="BFV12" s="197"/>
      <c r="BFW12" s="197"/>
      <c r="BFX12" s="197"/>
      <c r="BFY12" s="197"/>
      <c r="BFZ12" s="197"/>
      <c r="BGA12" s="197"/>
      <c r="BGB12" s="197"/>
      <c r="BGC12" s="197"/>
      <c r="BGD12" s="197"/>
      <c r="BGE12" s="197"/>
      <c r="BGF12" s="197"/>
      <c r="BGG12" s="197"/>
      <c r="BGH12" s="197"/>
      <c r="BGI12" s="197"/>
      <c r="BGJ12" s="197"/>
      <c r="BGK12" s="197"/>
      <c r="BGL12" s="197"/>
      <c r="BGM12" s="197"/>
      <c r="BGN12" s="197"/>
      <c r="BGO12" s="197"/>
      <c r="BGP12" s="197"/>
      <c r="BGQ12" s="197"/>
      <c r="BGR12" s="197"/>
      <c r="BGS12" s="197"/>
      <c r="BGT12" s="197"/>
      <c r="BGU12" s="197"/>
      <c r="BGV12" s="197"/>
      <c r="BGW12" s="197"/>
      <c r="BGX12" s="197"/>
      <c r="BGY12" s="197"/>
      <c r="BGZ12" s="197"/>
      <c r="BHA12" s="197"/>
      <c r="BHB12" s="197"/>
      <c r="BHC12" s="197"/>
      <c r="BHD12" s="197"/>
      <c r="BHE12" s="197"/>
      <c r="BHF12" s="197"/>
      <c r="BHG12" s="197"/>
      <c r="BHH12" s="197"/>
      <c r="BHI12" s="197"/>
      <c r="BHJ12" s="197"/>
      <c r="BHK12" s="197"/>
      <c r="BHL12" s="197"/>
      <c r="BHM12" s="197"/>
      <c r="BHN12" s="197"/>
      <c r="BHO12" s="197"/>
      <c r="BHP12" s="197"/>
      <c r="BHQ12" s="197"/>
      <c r="BHR12" s="197"/>
      <c r="BHS12" s="197"/>
      <c r="BHT12" s="197"/>
      <c r="BHU12" s="197"/>
      <c r="BHV12" s="197"/>
      <c r="BHW12" s="197"/>
      <c r="BHX12" s="197"/>
      <c r="BHY12" s="197"/>
      <c r="BHZ12" s="197"/>
      <c r="BIA12" s="197"/>
      <c r="BIB12" s="197"/>
      <c r="BIC12" s="197"/>
      <c r="BID12" s="197"/>
      <c r="BIE12" s="197"/>
      <c r="BIF12" s="197"/>
      <c r="BIG12" s="197"/>
      <c r="BIH12" s="197"/>
      <c r="BII12" s="197"/>
      <c r="BIJ12" s="197"/>
      <c r="BIK12" s="197"/>
      <c r="BIL12" s="197"/>
      <c r="BIM12" s="197"/>
      <c r="BIN12" s="197"/>
      <c r="BIO12" s="197"/>
      <c r="BIP12" s="197"/>
      <c r="BIQ12" s="197"/>
      <c r="BIR12" s="197"/>
      <c r="BIS12" s="197"/>
      <c r="BIT12" s="197"/>
      <c r="BIU12" s="197"/>
      <c r="BIV12" s="197"/>
      <c r="BIW12" s="197"/>
      <c r="BIX12" s="197"/>
      <c r="BIY12" s="197"/>
      <c r="BIZ12" s="197"/>
      <c r="BJA12" s="197"/>
      <c r="BJB12" s="197"/>
      <c r="BJC12" s="197"/>
      <c r="BJD12" s="197"/>
      <c r="BJE12" s="197"/>
      <c r="BJF12" s="197"/>
      <c r="BJG12" s="197"/>
      <c r="BJH12" s="197"/>
      <c r="BJI12" s="197"/>
      <c r="BJJ12" s="197"/>
      <c r="BJK12" s="197"/>
      <c r="BJL12" s="197"/>
      <c r="BJM12" s="197"/>
      <c r="BJN12" s="197"/>
      <c r="BJO12" s="197"/>
      <c r="BJP12" s="197"/>
      <c r="BJQ12" s="197"/>
      <c r="BJR12" s="197"/>
      <c r="BJS12" s="197"/>
      <c r="BJT12" s="197"/>
      <c r="BJU12" s="197"/>
      <c r="BJV12" s="197"/>
      <c r="BJW12" s="197"/>
      <c r="BJX12" s="197"/>
      <c r="BJY12" s="197"/>
      <c r="BJZ12" s="197"/>
      <c r="BKA12" s="197"/>
      <c r="BKB12" s="197"/>
      <c r="BKC12" s="197"/>
      <c r="BKD12" s="197"/>
      <c r="BKE12" s="197"/>
      <c r="BKF12" s="197"/>
      <c r="BKG12" s="197"/>
      <c r="BKH12" s="197"/>
      <c r="BKI12" s="197"/>
      <c r="BKJ12" s="197"/>
      <c r="BKK12" s="197"/>
      <c r="BKL12" s="197"/>
      <c r="BKM12" s="197"/>
      <c r="BKN12" s="197"/>
      <c r="BKO12" s="197"/>
      <c r="BKP12" s="197"/>
      <c r="BKQ12" s="197"/>
      <c r="BKR12" s="197"/>
      <c r="BKS12" s="197"/>
      <c r="BKT12" s="197"/>
      <c r="BKU12" s="197"/>
      <c r="BKV12" s="197"/>
      <c r="BKW12" s="197"/>
      <c r="BKX12" s="197"/>
      <c r="BKY12" s="197"/>
      <c r="BKZ12" s="197"/>
      <c r="BLA12" s="197"/>
      <c r="BLB12" s="197"/>
      <c r="BLC12" s="197"/>
      <c r="BLD12" s="197"/>
      <c r="BLE12" s="197"/>
      <c r="BLF12" s="197"/>
      <c r="BLG12" s="197"/>
      <c r="BLH12" s="197"/>
      <c r="BLI12" s="197"/>
      <c r="BLJ12" s="197"/>
      <c r="BLK12" s="197"/>
      <c r="BLL12" s="197"/>
      <c r="BLM12" s="197"/>
      <c r="BLN12" s="197"/>
      <c r="BLO12" s="197"/>
      <c r="BLP12" s="197"/>
      <c r="BLQ12" s="197"/>
      <c r="BLR12" s="197"/>
      <c r="BLS12" s="197"/>
      <c r="BLT12" s="197"/>
      <c r="BLU12" s="197"/>
      <c r="BLV12" s="197"/>
      <c r="BLW12" s="197"/>
      <c r="BLX12" s="197"/>
      <c r="BLY12" s="197"/>
      <c r="BLZ12" s="197"/>
      <c r="BMA12" s="197"/>
      <c r="BMB12" s="197"/>
      <c r="BMC12" s="197"/>
      <c r="BMD12" s="197"/>
      <c r="BME12" s="197"/>
      <c r="BMF12" s="197"/>
      <c r="BMG12" s="197"/>
      <c r="BMH12" s="197"/>
      <c r="BMI12" s="197"/>
      <c r="BMJ12" s="197"/>
      <c r="BMK12" s="197"/>
      <c r="BML12" s="197"/>
      <c r="BMM12" s="197"/>
      <c r="BMN12" s="197"/>
      <c r="BMO12" s="197"/>
      <c r="BMP12" s="197"/>
      <c r="BMQ12" s="197"/>
      <c r="BMR12" s="197"/>
      <c r="BMS12" s="197"/>
      <c r="BMT12" s="197"/>
      <c r="BMU12" s="197"/>
      <c r="BMV12" s="197"/>
      <c r="BMW12" s="197"/>
      <c r="BMX12" s="197"/>
      <c r="BMY12" s="197"/>
      <c r="BMZ12" s="197"/>
      <c r="BNA12" s="197"/>
      <c r="BNB12" s="197"/>
      <c r="BNC12" s="197"/>
      <c r="BND12" s="197"/>
      <c r="BNE12" s="197"/>
      <c r="BNF12" s="197"/>
      <c r="BNG12" s="197"/>
      <c r="BNH12" s="197"/>
      <c r="BNI12" s="197"/>
      <c r="BNJ12" s="197"/>
      <c r="BNK12" s="197"/>
      <c r="BNL12" s="197"/>
      <c r="BNM12" s="197"/>
      <c r="BNN12" s="197"/>
      <c r="BNO12" s="197"/>
      <c r="BNP12" s="197"/>
      <c r="BNQ12" s="197"/>
      <c r="BNR12" s="197"/>
      <c r="BNS12" s="197"/>
      <c r="BNT12" s="197"/>
      <c r="BNU12" s="197"/>
      <c r="BNV12" s="197"/>
      <c r="BNW12" s="197"/>
      <c r="BNX12" s="197"/>
      <c r="BNY12" s="197"/>
      <c r="BNZ12" s="197"/>
      <c r="BOA12" s="197"/>
      <c r="BOB12" s="197"/>
      <c r="BOC12" s="197"/>
      <c r="BOD12" s="90"/>
    </row>
    <row r="13" spans="1:1746" ht="42.75" customHeight="1" thickBot="1" x14ac:dyDescent="0.3">
      <c r="B13" s="96"/>
      <c r="C13" s="214" t="s">
        <v>7</v>
      </c>
      <c r="D13" s="144"/>
      <c r="E13" s="216" t="s">
        <v>38</v>
      </c>
      <c r="F13" s="198" t="s">
        <v>8</v>
      </c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199"/>
      <c r="AX13" s="199"/>
      <c r="AY13" s="199"/>
      <c r="AZ13" s="199"/>
      <c r="BA13" s="199"/>
      <c r="BB13" s="199"/>
      <c r="BC13" s="199"/>
      <c r="BD13" s="199"/>
      <c r="BE13" s="199"/>
      <c r="BF13" s="199"/>
      <c r="BG13" s="199"/>
      <c r="BH13" s="199"/>
      <c r="BI13" s="199"/>
      <c r="BJ13" s="199"/>
      <c r="BK13" s="199"/>
      <c r="BL13" s="199"/>
      <c r="BM13" s="200"/>
      <c r="BN13" s="198" t="s">
        <v>27</v>
      </c>
      <c r="BO13" s="199"/>
      <c r="BP13" s="199"/>
      <c r="BQ13" s="199"/>
      <c r="BR13" s="199"/>
      <c r="BS13" s="199"/>
      <c r="BT13" s="199"/>
      <c r="BU13" s="199"/>
      <c r="BV13" s="199"/>
      <c r="BW13" s="199"/>
      <c r="BX13" s="199"/>
      <c r="BY13" s="199"/>
      <c r="BZ13" s="199"/>
      <c r="CA13" s="199"/>
      <c r="CB13" s="199"/>
      <c r="CC13" s="199"/>
      <c r="CD13" s="199"/>
      <c r="CE13" s="199"/>
      <c r="CF13" s="199"/>
      <c r="CG13" s="199"/>
      <c r="CH13" s="199"/>
      <c r="CI13" s="199"/>
      <c r="CJ13" s="199"/>
      <c r="CK13" s="199"/>
      <c r="CL13" s="199"/>
      <c r="CM13" s="199"/>
      <c r="CN13" s="199"/>
      <c r="CO13" s="199"/>
      <c r="CP13" s="199"/>
      <c r="CQ13" s="199"/>
      <c r="CR13" s="199"/>
      <c r="CS13" s="199"/>
      <c r="CT13" s="199"/>
      <c r="CU13" s="199"/>
      <c r="CV13" s="199"/>
      <c r="CW13" s="199"/>
      <c r="CX13" s="199"/>
      <c r="CY13" s="199"/>
      <c r="CZ13" s="199"/>
      <c r="DA13" s="199"/>
      <c r="DB13" s="199"/>
      <c r="DC13" s="199"/>
      <c r="DD13" s="199"/>
      <c r="DE13" s="199"/>
      <c r="DF13" s="199"/>
      <c r="DG13" s="199"/>
      <c r="DH13" s="199"/>
      <c r="DI13" s="199"/>
      <c r="DJ13" s="199"/>
      <c r="DK13" s="199"/>
      <c r="DL13" s="199"/>
      <c r="DM13" s="199"/>
      <c r="DN13" s="199"/>
      <c r="DO13" s="199"/>
      <c r="DP13" s="199"/>
      <c r="DQ13" s="199"/>
      <c r="DR13" s="199"/>
      <c r="DS13" s="199"/>
      <c r="DT13" s="199"/>
      <c r="DU13" s="200"/>
      <c r="DV13" s="198" t="s">
        <v>18</v>
      </c>
      <c r="DW13" s="199"/>
      <c r="DX13" s="199"/>
      <c r="DY13" s="199"/>
      <c r="DZ13" s="199"/>
      <c r="EA13" s="199"/>
      <c r="EB13" s="199"/>
      <c r="EC13" s="199"/>
      <c r="ED13" s="199"/>
      <c r="EE13" s="199"/>
      <c r="EF13" s="199"/>
      <c r="EG13" s="199"/>
      <c r="EH13" s="199"/>
      <c r="EI13" s="199"/>
      <c r="EJ13" s="199"/>
      <c r="EK13" s="199"/>
      <c r="EL13" s="199"/>
      <c r="EM13" s="199"/>
      <c r="EN13" s="199"/>
      <c r="EO13" s="199"/>
      <c r="EP13" s="199"/>
      <c r="EQ13" s="199"/>
      <c r="ER13" s="199"/>
      <c r="ES13" s="199"/>
      <c r="ET13" s="199"/>
      <c r="EU13" s="199"/>
      <c r="EV13" s="199"/>
      <c r="EW13" s="199"/>
      <c r="EX13" s="199"/>
      <c r="EY13" s="199"/>
      <c r="EZ13" s="199"/>
      <c r="FA13" s="199"/>
      <c r="FB13" s="199"/>
      <c r="FC13" s="199"/>
      <c r="FD13" s="199"/>
      <c r="FE13" s="199"/>
      <c r="FF13" s="199"/>
      <c r="FG13" s="199"/>
      <c r="FH13" s="199"/>
      <c r="FI13" s="199"/>
      <c r="FJ13" s="199"/>
      <c r="FK13" s="199"/>
      <c r="FL13" s="199"/>
      <c r="FM13" s="199"/>
      <c r="FN13" s="199"/>
      <c r="FO13" s="199"/>
      <c r="FP13" s="199"/>
      <c r="FQ13" s="199"/>
      <c r="FR13" s="199"/>
      <c r="FS13" s="199"/>
      <c r="FT13" s="199"/>
      <c r="FU13" s="199"/>
      <c r="FV13" s="199"/>
      <c r="FW13" s="199"/>
      <c r="FX13" s="199"/>
      <c r="FY13" s="199"/>
      <c r="FZ13" s="199"/>
      <c r="GA13" s="199"/>
      <c r="GB13" s="199"/>
      <c r="GC13" s="200"/>
      <c r="GD13" s="198" t="s">
        <v>112</v>
      </c>
      <c r="GE13" s="199"/>
      <c r="GF13" s="199"/>
      <c r="GG13" s="199"/>
      <c r="GH13" s="199"/>
      <c r="GI13" s="199"/>
      <c r="GJ13" s="199"/>
      <c r="GK13" s="199"/>
      <c r="GL13" s="199"/>
      <c r="GM13" s="199"/>
      <c r="GN13" s="199"/>
      <c r="GO13" s="199"/>
      <c r="GP13" s="199"/>
      <c r="GQ13" s="199"/>
      <c r="GR13" s="199"/>
      <c r="GS13" s="199"/>
      <c r="GT13" s="199"/>
      <c r="GU13" s="199"/>
      <c r="GV13" s="199"/>
      <c r="GW13" s="199"/>
      <c r="GX13" s="199"/>
      <c r="GY13" s="199"/>
      <c r="GZ13" s="199"/>
      <c r="HA13" s="199"/>
      <c r="HB13" s="199"/>
      <c r="HC13" s="199"/>
      <c r="HD13" s="199"/>
      <c r="HE13" s="199"/>
      <c r="HF13" s="199"/>
      <c r="HG13" s="199"/>
      <c r="HH13" s="199"/>
      <c r="HI13" s="199"/>
      <c r="HJ13" s="199"/>
      <c r="HK13" s="199"/>
      <c r="HL13" s="199"/>
      <c r="HM13" s="199"/>
      <c r="HN13" s="199"/>
      <c r="HO13" s="199"/>
      <c r="HP13" s="199"/>
      <c r="HQ13" s="199"/>
      <c r="HR13" s="199"/>
      <c r="HS13" s="199"/>
      <c r="HT13" s="199"/>
      <c r="HU13" s="199"/>
      <c r="HV13" s="199"/>
      <c r="HW13" s="199"/>
      <c r="HX13" s="199"/>
      <c r="HY13" s="199"/>
      <c r="HZ13" s="199"/>
      <c r="IA13" s="199"/>
      <c r="IB13" s="199"/>
      <c r="IC13" s="199"/>
      <c r="ID13" s="199"/>
      <c r="IE13" s="199"/>
      <c r="IF13" s="199"/>
      <c r="IG13" s="199"/>
      <c r="IH13" s="199"/>
      <c r="II13" s="199"/>
      <c r="IJ13" s="199"/>
      <c r="IK13" s="200"/>
      <c r="IL13" s="198" t="s">
        <v>110</v>
      </c>
      <c r="IM13" s="199"/>
      <c r="IN13" s="199"/>
      <c r="IO13" s="199"/>
      <c r="IP13" s="199"/>
      <c r="IQ13" s="199"/>
      <c r="IR13" s="199"/>
      <c r="IS13" s="199"/>
      <c r="IT13" s="199"/>
      <c r="IU13" s="199"/>
      <c r="IV13" s="199"/>
      <c r="IW13" s="199"/>
      <c r="IX13" s="199"/>
      <c r="IY13" s="199"/>
      <c r="IZ13" s="199"/>
      <c r="JA13" s="199"/>
      <c r="JB13" s="199"/>
      <c r="JC13" s="199"/>
      <c r="JD13" s="199"/>
      <c r="JE13" s="199"/>
      <c r="JF13" s="199"/>
      <c r="JG13" s="199"/>
      <c r="JH13" s="199"/>
      <c r="JI13" s="199"/>
      <c r="JJ13" s="199"/>
      <c r="JK13" s="199"/>
      <c r="JL13" s="199"/>
      <c r="JM13" s="199"/>
      <c r="JN13" s="199"/>
      <c r="JO13" s="199"/>
      <c r="JP13" s="199"/>
      <c r="JQ13" s="199"/>
      <c r="JR13" s="199"/>
      <c r="JS13" s="199"/>
      <c r="JT13" s="199"/>
      <c r="JU13" s="199"/>
      <c r="JV13" s="199"/>
      <c r="JW13" s="199"/>
      <c r="JX13" s="199"/>
      <c r="JY13" s="199"/>
      <c r="JZ13" s="199"/>
      <c r="KA13" s="199"/>
      <c r="KB13" s="199"/>
      <c r="KC13" s="199"/>
      <c r="KD13" s="199"/>
      <c r="KE13" s="199"/>
      <c r="KF13" s="199"/>
      <c r="KG13" s="199"/>
      <c r="KH13" s="199"/>
      <c r="KI13" s="199"/>
      <c r="KJ13" s="199"/>
      <c r="KK13" s="199"/>
      <c r="KL13" s="199"/>
      <c r="KM13" s="199"/>
      <c r="KN13" s="199"/>
      <c r="KO13" s="199"/>
      <c r="KP13" s="199"/>
      <c r="KQ13" s="199"/>
      <c r="KR13" s="199"/>
      <c r="KS13" s="200"/>
      <c r="KT13" s="198" t="s">
        <v>109</v>
      </c>
      <c r="KU13" s="199"/>
      <c r="KV13" s="199"/>
      <c r="KW13" s="199"/>
      <c r="KX13" s="199"/>
      <c r="KY13" s="199"/>
      <c r="KZ13" s="199"/>
      <c r="LA13" s="199"/>
      <c r="LB13" s="199"/>
      <c r="LC13" s="199"/>
      <c r="LD13" s="199"/>
      <c r="LE13" s="199"/>
      <c r="LF13" s="199"/>
      <c r="LG13" s="199"/>
      <c r="LH13" s="199"/>
      <c r="LI13" s="199"/>
      <c r="LJ13" s="199"/>
      <c r="LK13" s="199"/>
      <c r="LL13" s="199"/>
      <c r="LM13" s="199"/>
      <c r="LN13" s="199"/>
      <c r="LO13" s="199"/>
      <c r="LP13" s="199"/>
      <c r="LQ13" s="199"/>
      <c r="LR13" s="199"/>
      <c r="LS13" s="199"/>
      <c r="LT13" s="199"/>
      <c r="LU13" s="199"/>
      <c r="LV13" s="199"/>
      <c r="LW13" s="199"/>
      <c r="LX13" s="199"/>
      <c r="LY13" s="199"/>
      <c r="LZ13" s="199"/>
      <c r="MA13" s="199"/>
      <c r="MB13" s="199"/>
      <c r="MC13" s="199"/>
      <c r="MD13" s="199"/>
      <c r="ME13" s="199"/>
      <c r="MF13" s="199"/>
      <c r="MG13" s="199"/>
      <c r="MH13" s="199"/>
      <c r="MI13" s="199"/>
      <c r="MJ13" s="199"/>
      <c r="MK13" s="199"/>
      <c r="ML13" s="199"/>
      <c r="MM13" s="199"/>
      <c r="MN13" s="199"/>
      <c r="MO13" s="199"/>
      <c r="MP13" s="199"/>
      <c r="MQ13" s="199"/>
      <c r="MR13" s="199"/>
      <c r="MS13" s="199"/>
      <c r="MT13" s="199"/>
      <c r="MU13" s="199"/>
      <c r="MV13" s="199"/>
      <c r="MW13" s="199"/>
      <c r="MX13" s="199"/>
      <c r="MY13" s="199"/>
      <c r="MZ13" s="199"/>
      <c r="NA13" s="200"/>
      <c r="NB13" s="198" t="s">
        <v>107</v>
      </c>
      <c r="NC13" s="199"/>
      <c r="ND13" s="199"/>
      <c r="NE13" s="199"/>
      <c r="NF13" s="199"/>
      <c r="NG13" s="199"/>
      <c r="NH13" s="199"/>
      <c r="NI13" s="199"/>
      <c r="NJ13" s="199"/>
      <c r="NK13" s="199"/>
      <c r="NL13" s="199"/>
      <c r="NM13" s="199"/>
      <c r="NN13" s="199"/>
      <c r="NO13" s="199"/>
      <c r="NP13" s="199"/>
      <c r="NQ13" s="199"/>
      <c r="NR13" s="199"/>
      <c r="NS13" s="199"/>
      <c r="NT13" s="199"/>
      <c r="NU13" s="199"/>
      <c r="NV13" s="199"/>
      <c r="NW13" s="199"/>
      <c r="NX13" s="199"/>
      <c r="NY13" s="199"/>
      <c r="NZ13" s="199"/>
      <c r="OA13" s="199"/>
      <c r="OB13" s="199"/>
      <c r="OC13" s="199"/>
      <c r="OD13" s="199"/>
      <c r="OE13" s="199"/>
      <c r="OF13" s="199"/>
      <c r="OG13" s="199"/>
      <c r="OH13" s="199"/>
      <c r="OI13" s="199"/>
      <c r="OJ13" s="199"/>
      <c r="OK13" s="199"/>
      <c r="OL13" s="199"/>
      <c r="OM13" s="199"/>
      <c r="ON13" s="199"/>
      <c r="OO13" s="199"/>
      <c r="OP13" s="199"/>
      <c r="OQ13" s="199"/>
      <c r="OR13" s="199"/>
      <c r="OS13" s="199"/>
      <c r="OT13" s="199"/>
      <c r="OU13" s="199"/>
      <c r="OV13" s="199"/>
      <c r="OW13" s="199"/>
      <c r="OX13" s="199"/>
      <c r="OY13" s="199"/>
      <c r="OZ13" s="199"/>
      <c r="PA13" s="199"/>
      <c r="PB13" s="199"/>
      <c r="PC13" s="199"/>
      <c r="PD13" s="199"/>
      <c r="PE13" s="199"/>
      <c r="PF13" s="199"/>
      <c r="PG13" s="199"/>
      <c r="PH13" s="199"/>
      <c r="PI13" s="200"/>
      <c r="PJ13" s="198" t="s">
        <v>106</v>
      </c>
      <c r="PK13" s="199"/>
      <c r="PL13" s="199"/>
      <c r="PM13" s="199"/>
      <c r="PN13" s="199"/>
      <c r="PO13" s="199"/>
      <c r="PP13" s="199"/>
      <c r="PQ13" s="199"/>
      <c r="PR13" s="199"/>
      <c r="PS13" s="199"/>
      <c r="PT13" s="199"/>
      <c r="PU13" s="199"/>
      <c r="PV13" s="199"/>
      <c r="PW13" s="199"/>
      <c r="PX13" s="199"/>
      <c r="PY13" s="199"/>
      <c r="PZ13" s="199"/>
      <c r="QA13" s="199"/>
      <c r="QB13" s="199"/>
      <c r="QC13" s="199"/>
      <c r="QD13" s="199"/>
      <c r="QE13" s="199"/>
      <c r="QF13" s="199"/>
      <c r="QG13" s="199"/>
      <c r="QH13" s="199"/>
      <c r="QI13" s="199"/>
      <c r="QJ13" s="199"/>
      <c r="QK13" s="199"/>
      <c r="QL13" s="199"/>
      <c r="QM13" s="199"/>
      <c r="QN13" s="199"/>
      <c r="QO13" s="199"/>
      <c r="QP13" s="199"/>
      <c r="QQ13" s="199"/>
      <c r="QR13" s="199"/>
      <c r="QS13" s="199"/>
      <c r="QT13" s="199"/>
      <c r="QU13" s="199"/>
      <c r="QV13" s="199"/>
      <c r="QW13" s="199"/>
      <c r="QX13" s="199"/>
      <c r="QY13" s="199"/>
      <c r="QZ13" s="199"/>
      <c r="RA13" s="199"/>
      <c r="RB13" s="199"/>
      <c r="RC13" s="199"/>
      <c r="RD13" s="199"/>
      <c r="RE13" s="199"/>
      <c r="RF13" s="199"/>
      <c r="RG13" s="199"/>
      <c r="RH13" s="199"/>
      <c r="RI13" s="199"/>
      <c r="RJ13" s="199"/>
      <c r="RK13" s="199"/>
      <c r="RL13" s="199"/>
      <c r="RM13" s="199"/>
      <c r="RN13" s="199"/>
      <c r="RO13" s="199"/>
      <c r="RP13" s="199"/>
      <c r="RQ13" s="200"/>
      <c r="RR13" s="198" t="s">
        <v>104</v>
      </c>
      <c r="RS13" s="199"/>
      <c r="RT13" s="199"/>
      <c r="RU13" s="199"/>
      <c r="RV13" s="199"/>
      <c r="RW13" s="199"/>
      <c r="RX13" s="199"/>
      <c r="RY13" s="199"/>
      <c r="RZ13" s="199"/>
      <c r="SA13" s="199"/>
      <c r="SB13" s="199"/>
      <c r="SC13" s="199"/>
      <c r="SD13" s="199"/>
      <c r="SE13" s="199"/>
      <c r="SF13" s="199"/>
      <c r="SG13" s="199"/>
      <c r="SH13" s="199"/>
      <c r="SI13" s="199"/>
      <c r="SJ13" s="199"/>
      <c r="SK13" s="199"/>
      <c r="SL13" s="199"/>
      <c r="SM13" s="199"/>
      <c r="SN13" s="199"/>
      <c r="SO13" s="199"/>
      <c r="SP13" s="199"/>
      <c r="SQ13" s="199"/>
      <c r="SR13" s="199"/>
      <c r="SS13" s="199"/>
      <c r="ST13" s="199"/>
      <c r="SU13" s="199"/>
      <c r="SV13" s="199"/>
      <c r="SW13" s="199"/>
      <c r="SX13" s="199"/>
      <c r="SY13" s="199"/>
      <c r="SZ13" s="199"/>
      <c r="TA13" s="199"/>
      <c r="TB13" s="199"/>
      <c r="TC13" s="199"/>
      <c r="TD13" s="199"/>
      <c r="TE13" s="199"/>
      <c r="TF13" s="199"/>
      <c r="TG13" s="199"/>
      <c r="TH13" s="199"/>
      <c r="TI13" s="199"/>
      <c r="TJ13" s="199"/>
      <c r="TK13" s="199"/>
      <c r="TL13" s="199"/>
      <c r="TM13" s="199"/>
      <c r="TN13" s="199"/>
      <c r="TO13" s="199"/>
      <c r="TP13" s="199"/>
      <c r="TQ13" s="199"/>
      <c r="TR13" s="199"/>
      <c r="TS13" s="199"/>
      <c r="TT13" s="199"/>
      <c r="TU13" s="199"/>
      <c r="TV13" s="199"/>
      <c r="TW13" s="199"/>
      <c r="TX13" s="199"/>
      <c r="TY13" s="200"/>
      <c r="TZ13" s="198" t="s">
        <v>103</v>
      </c>
      <c r="UA13" s="199"/>
      <c r="UB13" s="199"/>
      <c r="UC13" s="199"/>
      <c r="UD13" s="199"/>
      <c r="UE13" s="199"/>
      <c r="UF13" s="199"/>
      <c r="UG13" s="199"/>
      <c r="UH13" s="199"/>
      <c r="UI13" s="199"/>
      <c r="UJ13" s="199"/>
      <c r="UK13" s="199"/>
      <c r="UL13" s="199"/>
      <c r="UM13" s="199"/>
      <c r="UN13" s="199"/>
      <c r="UO13" s="199"/>
      <c r="UP13" s="199"/>
      <c r="UQ13" s="199"/>
      <c r="UR13" s="199"/>
      <c r="US13" s="199"/>
      <c r="UT13" s="199"/>
      <c r="UU13" s="199"/>
      <c r="UV13" s="199"/>
      <c r="UW13" s="199"/>
      <c r="UX13" s="199"/>
      <c r="UY13" s="199"/>
      <c r="UZ13" s="199"/>
      <c r="VA13" s="199"/>
      <c r="VB13" s="199"/>
      <c r="VC13" s="199"/>
      <c r="VD13" s="199"/>
      <c r="VE13" s="199"/>
      <c r="VF13" s="199"/>
      <c r="VG13" s="199"/>
      <c r="VH13" s="199"/>
      <c r="VI13" s="199"/>
      <c r="VJ13" s="199"/>
      <c r="VK13" s="199"/>
      <c r="VL13" s="199"/>
      <c r="VM13" s="199"/>
      <c r="VN13" s="199"/>
      <c r="VO13" s="199"/>
      <c r="VP13" s="199"/>
      <c r="VQ13" s="199"/>
      <c r="VR13" s="199"/>
      <c r="VS13" s="199"/>
      <c r="VT13" s="199"/>
      <c r="VU13" s="199"/>
      <c r="VV13" s="199"/>
      <c r="VW13" s="199"/>
      <c r="VX13" s="199"/>
      <c r="VY13" s="199"/>
      <c r="VZ13" s="199"/>
      <c r="WA13" s="199"/>
      <c r="WB13" s="199"/>
      <c r="WC13" s="199"/>
      <c r="WD13" s="199"/>
      <c r="WE13" s="199"/>
      <c r="WF13" s="199"/>
      <c r="WG13" s="200"/>
      <c r="WH13" s="198" t="s">
        <v>101</v>
      </c>
      <c r="WI13" s="199"/>
      <c r="WJ13" s="199"/>
      <c r="WK13" s="199"/>
      <c r="WL13" s="199"/>
      <c r="WM13" s="199"/>
      <c r="WN13" s="199"/>
      <c r="WO13" s="199"/>
      <c r="WP13" s="199"/>
      <c r="WQ13" s="199"/>
      <c r="WR13" s="199"/>
      <c r="WS13" s="199"/>
      <c r="WT13" s="199"/>
      <c r="WU13" s="199"/>
      <c r="WV13" s="199"/>
      <c r="WW13" s="199"/>
      <c r="WX13" s="199"/>
      <c r="WY13" s="199"/>
      <c r="WZ13" s="199"/>
      <c r="XA13" s="199"/>
      <c r="XB13" s="199"/>
      <c r="XC13" s="199"/>
      <c r="XD13" s="199"/>
      <c r="XE13" s="199"/>
      <c r="XF13" s="199"/>
      <c r="XG13" s="199"/>
      <c r="XH13" s="199"/>
      <c r="XI13" s="199"/>
      <c r="XJ13" s="199"/>
      <c r="XK13" s="199"/>
      <c r="XL13" s="199"/>
      <c r="XM13" s="199"/>
      <c r="XN13" s="199"/>
      <c r="XO13" s="199"/>
      <c r="XP13" s="199"/>
      <c r="XQ13" s="199"/>
      <c r="XR13" s="199"/>
      <c r="XS13" s="199"/>
      <c r="XT13" s="199"/>
      <c r="XU13" s="199"/>
      <c r="XV13" s="199"/>
      <c r="XW13" s="199"/>
      <c r="XX13" s="199"/>
      <c r="XY13" s="199"/>
      <c r="XZ13" s="199"/>
      <c r="YA13" s="199"/>
      <c r="YB13" s="199"/>
      <c r="YC13" s="199"/>
      <c r="YD13" s="199"/>
      <c r="YE13" s="199"/>
      <c r="YF13" s="199"/>
      <c r="YG13" s="199"/>
      <c r="YH13" s="199"/>
      <c r="YI13" s="199"/>
      <c r="YJ13" s="199"/>
      <c r="YK13" s="199"/>
      <c r="YL13" s="199"/>
      <c r="YM13" s="199"/>
      <c r="YN13" s="199"/>
      <c r="YO13" s="200"/>
      <c r="YP13" s="198" t="s">
        <v>100</v>
      </c>
      <c r="YQ13" s="199"/>
      <c r="YR13" s="199"/>
      <c r="YS13" s="199"/>
      <c r="YT13" s="199"/>
      <c r="YU13" s="199"/>
      <c r="YV13" s="199"/>
      <c r="YW13" s="199"/>
      <c r="YX13" s="199"/>
      <c r="YY13" s="199"/>
      <c r="YZ13" s="199"/>
      <c r="ZA13" s="199"/>
      <c r="ZB13" s="199"/>
      <c r="ZC13" s="199"/>
      <c r="ZD13" s="199"/>
      <c r="ZE13" s="199"/>
      <c r="ZF13" s="199"/>
      <c r="ZG13" s="199"/>
      <c r="ZH13" s="199"/>
      <c r="ZI13" s="199"/>
      <c r="ZJ13" s="199"/>
      <c r="ZK13" s="199"/>
      <c r="ZL13" s="199"/>
      <c r="ZM13" s="199"/>
      <c r="ZN13" s="199"/>
      <c r="ZO13" s="199"/>
      <c r="ZP13" s="199"/>
      <c r="ZQ13" s="199"/>
      <c r="ZR13" s="199"/>
      <c r="ZS13" s="199"/>
      <c r="ZT13" s="199"/>
      <c r="ZU13" s="199"/>
      <c r="ZV13" s="199"/>
      <c r="ZW13" s="199"/>
      <c r="ZX13" s="199"/>
      <c r="ZY13" s="199"/>
      <c r="ZZ13" s="199"/>
      <c r="AAA13" s="199"/>
      <c r="AAB13" s="199"/>
      <c r="AAC13" s="199"/>
      <c r="AAD13" s="199"/>
      <c r="AAE13" s="199"/>
      <c r="AAF13" s="199"/>
      <c r="AAG13" s="199"/>
      <c r="AAH13" s="199"/>
      <c r="AAI13" s="199"/>
      <c r="AAJ13" s="199"/>
      <c r="AAK13" s="199"/>
      <c r="AAL13" s="199"/>
      <c r="AAM13" s="199"/>
      <c r="AAN13" s="199"/>
      <c r="AAO13" s="199"/>
      <c r="AAP13" s="199"/>
      <c r="AAQ13" s="199"/>
      <c r="AAR13" s="199"/>
      <c r="AAS13" s="199"/>
      <c r="AAT13" s="199"/>
      <c r="AAU13" s="199"/>
      <c r="AAV13" s="199"/>
      <c r="AAW13" s="200"/>
      <c r="AAX13" s="198" t="s">
        <v>98</v>
      </c>
      <c r="AAY13" s="199"/>
      <c r="AAZ13" s="199"/>
      <c r="ABA13" s="199"/>
      <c r="ABB13" s="199"/>
      <c r="ABC13" s="199"/>
      <c r="ABD13" s="199"/>
      <c r="ABE13" s="199"/>
      <c r="ABF13" s="199"/>
      <c r="ABG13" s="199"/>
      <c r="ABH13" s="199"/>
      <c r="ABI13" s="199"/>
      <c r="ABJ13" s="199"/>
      <c r="ABK13" s="199"/>
      <c r="ABL13" s="199"/>
      <c r="ABM13" s="199"/>
      <c r="ABN13" s="199"/>
      <c r="ABO13" s="199"/>
      <c r="ABP13" s="199"/>
      <c r="ABQ13" s="199"/>
      <c r="ABR13" s="199"/>
      <c r="ABS13" s="199"/>
      <c r="ABT13" s="199"/>
      <c r="ABU13" s="199"/>
      <c r="ABV13" s="199"/>
      <c r="ABW13" s="199"/>
      <c r="ABX13" s="199"/>
      <c r="ABY13" s="199"/>
      <c r="ABZ13" s="199"/>
      <c r="ACA13" s="199"/>
      <c r="ACB13" s="199"/>
      <c r="ACC13" s="199"/>
      <c r="ACD13" s="199"/>
      <c r="ACE13" s="199"/>
      <c r="ACF13" s="199"/>
      <c r="ACG13" s="199"/>
      <c r="ACH13" s="199"/>
      <c r="ACI13" s="199"/>
      <c r="ACJ13" s="199"/>
      <c r="ACK13" s="199"/>
      <c r="ACL13" s="199"/>
      <c r="ACM13" s="199"/>
      <c r="ACN13" s="199"/>
      <c r="ACO13" s="199"/>
      <c r="ACP13" s="199"/>
      <c r="ACQ13" s="199"/>
      <c r="ACR13" s="199"/>
      <c r="ACS13" s="199"/>
      <c r="ACT13" s="199"/>
      <c r="ACU13" s="199"/>
      <c r="ACV13" s="199"/>
      <c r="ACW13" s="199"/>
      <c r="ACX13" s="199"/>
      <c r="ACY13" s="199"/>
      <c r="ACZ13" s="199"/>
      <c r="ADA13" s="199"/>
      <c r="ADB13" s="199"/>
      <c r="ADC13" s="199"/>
      <c r="ADD13" s="199"/>
      <c r="ADE13" s="200"/>
      <c r="ADF13" s="198" t="s">
        <v>97</v>
      </c>
      <c r="ADG13" s="199"/>
      <c r="ADH13" s="199"/>
      <c r="ADI13" s="199"/>
      <c r="ADJ13" s="199"/>
      <c r="ADK13" s="199"/>
      <c r="ADL13" s="199"/>
      <c r="ADM13" s="199"/>
      <c r="ADN13" s="199"/>
      <c r="ADO13" s="199"/>
      <c r="ADP13" s="199"/>
      <c r="ADQ13" s="199"/>
      <c r="ADR13" s="199"/>
      <c r="ADS13" s="199"/>
      <c r="ADT13" s="199"/>
      <c r="ADU13" s="199"/>
      <c r="ADV13" s="199"/>
      <c r="ADW13" s="199"/>
      <c r="ADX13" s="199"/>
      <c r="ADY13" s="199"/>
      <c r="ADZ13" s="199"/>
      <c r="AEA13" s="199"/>
      <c r="AEB13" s="199"/>
      <c r="AEC13" s="199"/>
      <c r="AED13" s="199"/>
      <c r="AEE13" s="199"/>
      <c r="AEF13" s="199"/>
      <c r="AEG13" s="199"/>
      <c r="AEH13" s="199"/>
      <c r="AEI13" s="199"/>
      <c r="AEJ13" s="199"/>
      <c r="AEK13" s="199"/>
      <c r="AEL13" s="199"/>
      <c r="AEM13" s="199"/>
      <c r="AEN13" s="199"/>
      <c r="AEO13" s="199"/>
      <c r="AEP13" s="199"/>
      <c r="AEQ13" s="199"/>
      <c r="AER13" s="199"/>
      <c r="AES13" s="199"/>
      <c r="AET13" s="199"/>
      <c r="AEU13" s="199"/>
      <c r="AEV13" s="199"/>
      <c r="AEW13" s="199"/>
      <c r="AEX13" s="199"/>
      <c r="AEY13" s="199"/>
      <c r="AEZ13" s="199"/>
      <c r="AFA13" s="199"/>
      <c r="AFB13" s="199"/>
      <c r="AFC13" s="199"/>
      <c r="AFD13" s="199"/>
      <c r="AFE13" s="199"/>
      <c r="AFF13" s="199"/>
      <c r="AFG13" s="199"/>
      <c r="AFH13" s="199"/>
      <c r="AFI13" s="199"/>
      <c r="AFJ13" s="199"/>
      <c r="AFK13" s="199"/>
      <c r="AFL13" s="199"/>
      <c r="AFM13" s="200"/>
      <c r="AFN13" s="198" t="s">
        <v>95</v>
      </c>
      <c r="AFO13" s="199"/>
      <c r="AFP13" s="199"/>
      <c r="AFQ13" s="199"/>
      <c r="AFR13" s="199"/>
      <c r="AFS13" s="199"/>
      <c r="AFT13" s="199"/>
      <c r="AFU13" s="199"/>
      <c r="AFV13" s="199"/>
      <c r="AFW13" s="199"/>
      <c r="AFX13" s="199"/>
      <c r="AFY13" s="199"/>
      <c r="AFZ13" s="199"/>
      <c r="AGA13" s="199"/>
      <c r="AGB13" s="199"/>
      <c r="AGC13" s="199"/>
      <c r="AGD13" s="199"/>
      <c r="AGE13" s="199"/>
      <c r="AGF13" s="199"/>
      <c r="AGG13" s="199"/>
      <c r="AGH13" s="199"/>
      <c r="AGI13" s="199"/>
      <c r="AGJ13" s="199"/>
      <c r="AGK13" s="199"/>
      <c r="AGL13" s="199"/>
      <c r="AGM13" s="199"/>
      <c r="AGN13" s="199"/>
      <c r="AGO13" s="199"/>
      <c r="AGP13" s="199"/>
      <c r="AGQ13" s="199"/>
      <c r="AGR13" s="199"/>
      <c r="AGS13" s="199"/>
      <c r="AGT13" s="199"/>
      <c r="AGU13" s="199"/>
      <c r="AGV13" s="199"/>
      <c r="AGW13" s="199"/>
      <c r="AGX13" s="199"/>
      <c r="AGY13" s="199"/>
      <c r="AGZ13" s="199"/>
      <c r="AHA13" s="199"/>
      <c r="AHB13" s="199"/>
      <c r="AHC13" s="199"/>
      <c r="AHD13" s="199"/>
      <c r="AHE13" s="199"/>
      <c r="AHF13" s="199"/>
      <c r="AHG13" s="199"/>
      <c r="AHH13" s="199"/>
      <c r="AHI13" s="199"/>
      <c r="AHJ13" s="199"/>
      <c r="AHK13" s="199"/>
      <c r="AHL13" s="199"/>
      <c r="AHM13" s="199"/>
      <c r="AHN13" s="199"/>
      <c r="AHO13" s="199"/>
      <c r="AHP13" s="199"/>
      <c r="AHQ13" s="199"/>
      <c r="AHR13" s="199"/>
      <c r="AHS13" s="199"/>
      <c r="AHT13" s="199"/>
      <c r="AHU13" s="200"/>
      <c r="AHV13" s="198" t="s">
        <v>93</v>
      </c>
      <c r="AHW13" s="199"/>
      <c r="AHX13" s="199"/>
      <c r="AHY13" s="199"/>
      <c r="AHZ13" s="199"/>
      <c r="AIA13" s="199"/>
      <c r="AIB13" s="199"/>
      <c r="AIC13" s="199"/>
      <c r="AID13" s="199"/>
      <c r="AIE13" s="199"/>
      <c r="AIF13" s="199"/>
      <c r="AIG13" s="199"/>
      <c r="AIH13" s="199"/>
      <c r="AII13" s="199"/>
      <c r="AIJ13" s="199"/>
      <c r="AIK13" s="199"/>
      <c r="AIL13" s="199"/>
      <c r="AIM13" s="199"/>
      <c r="AIN13" s="199"/>
      <c r="AIO13" s="199"/>
      <c r="AIP13" s="199"/>
      <c r="AIQ13" s="199"/>
      <c r="AIR13" s="199"/>
      <c r="AIS13" s="199"/>
      <c r="AIT13" s="199"/>
      <c r="AIU13" s="199"/>
      <c r="AIV13" s="199"/>
      <c r="AIW13" s="199"/>
      <c r="AIX13" s="199"/>
      <c r="AIY13" s="199"/>
      <c r="AIZ13" s="199"/>
      <c r="AJA13" s="199"/>
      <c r="AJB13" s="199"/>
      <c r="AJC13" s="199"/>
      <c r="AJD13" s="199"/>
      <c r="AJE13" s="199"/>
      <c r="AJF13" s="199"/>
      <c r="AJG13" s="199"/>
      <c r="AJH13" s="199"/>
      <c r="AJI13" s="199"/>
      <c r="AJJ13" s="199"/>
      <c r="AJK13" s="199"/>
      <c r="AJL13" s="199"/>
      <c r="AJM13" s="199"/>
      <c r="AJN13" s="199"/>
      <c r="AJO13" s="199"/>
      <c r="AJP13" s="199"/>
      <c r="AJQ13" s="199"/>
      <c r="AJR13" s="199"/>
      <c r="AJS13" s="199"/>
      <c r="AJT13" s="199"/>
      <c r="AJU13" s="199"/>
      <c r="AJV13" s="199"/>
      <c r="AJW13" s="199"/>
      <c r="AJX13" s="199"/>
      <c r="AJY13" s="199"/>
      <c r="AJZ13" s="199"/>
      <c r="AKA13" s="199"/>
      <c r="AKB13" s="199"/>
      <c r="AKC13" s="200"/>
      <c r="AKD13" s="198" t="s">
        <v>92</v>
      </c>
      <c r="AKE13" s="199"/>
      <c r="AKF13" s="199"/>
      <c r="AKG13" s="199"/>
      <c r="AKH13" s="199"/>
      <c r="AKI13" s="199"/>
      <c r="AKJ13" s="199"/>
      <c r="AKK13" s="199"/>
      <c r="AKL13" s="199"/>
      <c r="AKM13" s="199"/>
      <c r="AKN13" s="199"/>
      <c r="AKO13" s="199"/>
      <c r="AKP13" s="199"/>
      <c r="AKQ13" s="199"/>
      <c r="AKR13" s="199"/>
      <c r="AKS13" s="199"/>
      <c r="AKT13" s="199"/>
      <c r="AKU13" s="199"/>
      <c r="AKV13" s="199"/>
      <c r="AKW13" s="199"/>
      <c r="AKX13" s="199"/>
      <c r="AKY13" s="199"/>
      <c r="AKZ13" s="199"/>
      <c r="ALA13" s="199"/>
      <c r="ALB13" s="199"/>
      <c r="ALC13" s="199"/>
      <c r="ALD13" s="199"/>
      <c r="ALE13" s="199"/>
      <c r="ALF13" s="199"/>
      <c r="ALG13" s="199"/>
      <c r="ALH13" s="199"/>
      <c r="ALI13" s="199"/>
      <c r="ALJ13" s="199"/>
      <c r="ALK13" s="199"/>
      <c r="ALL13" s="199"/>
      <c r="ALM13" s="199"/>
      <c r="ALN13" s="199"/>
      <c r="ALO13" s="199"/>
      <c r="ALP13" s="199"/>
      <c r="ALQ13" s="199"/>
      <c r="ALR13" s="199"/>
      <c r="ALS13" s="199"/>
      <c r="ALT13" s="199"/>
      <c r="ALU13" s="199"/>
      <c r="ALV13" s="199"/>
      <c r="ALW13" s="199"/>
      <c r="ALX13" s="199"/>
      <c r="ALY13" s="199"/>
      <c r="ALZ13" s="199"/>
      <c r="AMA13" s="199"/>
      <c r="AMB13" s="199"/>
      <c r="AMC13" s="199"/>
      <c r="AMD13" s="199"/>
      <c r="AME13" s="199"/>
      <c r="AMF13" s="199"/>
      <c r="AMG13" s="199"/>
      <c r="AMH13" s="199"/>
      <c r="AMI13" s="199"/>
      <c r="AMJ13" s="199"/>
      <c r="AMK13" s="200"/>
      <c r="AML13" s="198" t="s">
        <v>90</v>
      </c>
      <c r="AMM13" s="199"/>
      <c r="AMN13" s="199"/>
      <c r="AMO13" s="199"/>
      <c r="AMP13" s="199"/>
      <c r="AMQ13" s="199"/>
      <c r="AMR13" s="199"/>
      <c r="AMS13" s="199"/>
      <c r="AMT13" s="199"/>
      <c r="AMU13" s="199"/>
      <c r="AMV13" s="199"/>
      <c r="AMW13" s="199"/>
      <c r="AMX13" s="199"/>
      <c r="AMY13" s="199"/>
      <c r="AMZ13" s="199"/>
      <c r="ANA13" s="199"/>
      <c r="ANB13" s="199"/>
      <c r="ANC13" s="199"/>
      <c r="AND13" s="199"/>
      <c r="ANE13" s="199"/>
      <c r="ANF13" s="199"/>
      <c r="ANG13" s="199"/>
      <c r="ANH13" s="199"/>
      <c r="ANI13" s="199"/>
      <c r="ANJ13" s="199"/>
      <c r="ANK13" s="199"/>
      <c r="ANL13" s="199"/>
      <c r="ANM13" s="199"/>
      <c r="ANN13" s="199"/>
      <c r="ANO13" s="199"/>
      <c r="ANP13" s="199"/>
      <c r="ANQ13" s="199"/>
      <c r="ANR13" s="199"/>
      <c r="ANS13" s="199"/>
      <c r="ANT13" s="199"/>
      <c r="ANU13" s="199"/>
      <c r="ANV13" s="199"/>
      <c r="ANW13" s="199"/>
      <c r="ANX13" s="199"/>
      <c r="ANY13" s="199"/>
      <c r="ANZ13" s="199"/>
      <c r="AOA13" s="199"/>
      <c r="AOB13" s="199"/>
      <c r="AOC13" s="199"/>
      <c r="AOD13" s="199"/>
      <c r="AOE13" s="199"/>
      <c r="AOF13" s="199"/>
      <c r="AOG13" s="199"/>
      <c r="AOH13" s="199"/>
      <c r="AOI13" s="199"/>
      <c r="AOJ13" s="199"/>
      <c r="AOK13" s="199"/>
      <c r="AOL13" s="199"/>
      <c r="AOM13" s="199"/>
      <c r="AON13" s="199"/>
      <c r="AOO13" s="199"/>
      <c r="AOP13" s="199"/>
      <c r="AOQ13" s="199"/>
      <c r="AOR13" s="199"/>
      <c r="AOS13" s="200"/>
      <c r="AOT13" s="198" t="s">
        <v>89</v>
      </c>
      <c r="AOU13" s="199"/>
      <c r="AOV13" s="199"/>
      <c r="AOW13" s="199"/>
      <c r="AOX13" s="199"/>
      <c r="AOY13" s="199"/>
      <c r="AOZ13" s="199"/>
      <c r="APA13" s="199"/>
      <c r="APB13" s="199"/>
      <c r="APC13" s="199"/>
      <c r="APD13" s="199"/>
      <c r="APE13" s="199"/>
      <c r="APF13" s="199"/>
      <c r="APG13" s="199"/>
      <c r="APH13" s="199"/>
      <c r="API13" s="199"/>
      <c r="APJ13" s="199"/>
      <c r="APK13" s="199"/>
      <c r="APL13" s="199"/>
      <c r="APM13" s="199"/>
      <c r="APN13" s="199"/>
      <c r="APO13" s="199"/>
      <c r="APP13" s="199"/>
      <c r="APQ13" s="199"/>
      <c r="APR13" s="199"/>
      <c r="APS13" s="199"/>
      <c r="APT13" s="199"/>
      <c r="APU13" s="199"/>
      <c r="APV13" s="199"/>
      <c r="APW13" s="199"/>
      <c r="APX13" s="199"/>
      <c r="APY13" s="199"/>
      <c r="APZ13" s="199"/>
      <c r="AQA13" s="199"/>
      <c r="AQB13" s="199"/>
      <c r="AQC13" s="199"/>
      <c r="AQD13" s="199"/>
      <c r="AQE13" s="199"/>
      <c r="AQF13" s="199"/>
      <c r="AQG13" s="199"/>
      <c r="AQH13" s="199"/>
      <c r="AQI13" s="199"/>
      <c r="AQJ13" s="199"/>
      <c r="AQK13" s="199"/>
      <c r="AQL13" s="199"/>
      <c r="AQM13" s="199"/>
      <c r="AQN13" s="199"/>
      <c r="AQO13" s="199"/>
      <c r="AQP13" s="199"/>
      <c r="AQQ13" s="199"/>
      <c r="AQR13" s="199"/>
      <c r="AQS13" s="199"/>
      <c r="AQT13" s="199"/>
      <c r="AQU13" s="199"/>
      <c r="AQV13" s="199"/>
      <c r="AQW13" s="199"/>
      <c r="AQX13" s="199"/>
      <c r="AQY13" s="199"/>
      <c r="AQZ13" s="199"/>
      <c r="ARA13" s="200"/>
      <c r="ARB13" s="198" t="s">
        <v>87</v>
      </c>
      <c r="ARC13" s="199"/>
      <c r="ARD13" s="199"/>
      <c r="ARE13" s="199"/>
      <c r="ARF13" s="199"/>
      <c r="ARG13" s="199"/>
      <c r="ARH13" s="199"/>
      <c r="ARI13" s="199"/>
      <c r="ARJ13" s="199"/>
      <c r="ARK13" s="199"/>
      <c r="ARL13" s="199"/>
      <c r="ARM13" s="199"/>
      <c r="ARN13" s="199"/>
      <c r="ARO13" s="199"/>
      <c r="ARP13" s="199"/>
      <c r="ARQ13" s="199"/>
      <c r="ARR13" s="199"/>
      <c r="ARS13" s="199"/>
      <c r="ART13" s="199"/>
      <c r="ARU13" s="199"/>
      <c r="ARV13" s="199"/>
      <c r="ARW13" s="199"/>
      <c r="ARX13" s="199"/>
      <c r="ARY13" s="199"/>
      <c r="ARZ13" s="199"/>
      <c r="ASA13" s="199"/>
      <c r="ASB13" s="199"/>
      <c r="ASC13" s="199"/>
      <c r="ASD13" s="199"/>
      <c r="ASE13" s="199"/>
      <c r="ASF13" s="199"/>
      <c r="ASG13" s="199"/>
      <c r="ASH13" s="199"/>
      <c r="ASI13" s="199"/>
      <c r="ASJ13" s="199"/>
      <c r="ASK13" s="199"/>
      <c r="ASL13" s="199"/>
      <c r="ASM13" s="199"/>
      <c r="ASN13" s="199"/>
      <c r="ASO13" s="199"/>
      <c r="ASP13" s="199"/>
      <c r="ASQ13" s="199"/>
      <c r="ASR13" s="199"/>
      <c r="ASS13" s="199"/>
      <c r="AST13" s="199"/>
      <c r="ASU13" s="199"/>
      <c r="ASV13" s="199"/>
      <c r="ASW13" s="199"/>
      <c r="ASX13" s="199"/>
      <c r="ASY13" s="199"/>
      <c r="ASZ13" s="199"/>
      <c r="ATA13" s="199"/>
      <c r="ATB13" s="199"/>
      <c r="ATC13" s="199"/>
      <c r="ATD13" s="199"/>
      <c r="ATE13" s="199"/>
      <c r="ATF13" s="199"/>
      <c r="ATG13" s="199"/>
      <c r="ATH13" s="199"/>
      <c r="ATI13" s="200"/>
      <c r="ATJ13" s="198" t="s">
        <v>85</v>
      </c>
      <c r="ATK13" s="199"/>
      <c r="ATL13" s="199"/>
      <c r="ATM13" s="199"/>
      <c r="ATN13" s="199"/>
      <c r="ATO13" s="199"/>
      <c r="ATP13" s="199"/>
      <c r="ATQ13" s="199"/>
      <c r="ATR13" s="199"/>
      <c r="ATS13" s="199"/>
      <c r="ATT13" s="199"/>
      <c r="ATU13" s="199"/>
      <c r="ATV13" s="199"/>
      <c r="ATW13" s="199"/>
      <c r="ATX13" s="199"/>
      <c r="ATY13" s="199"/>
      <c r="ATZ13" s="199"/>
      <c r="AUA13" s="199"/>
      <c r="AUB13" s="199"/>
      <c r="AUC13" s="199"/>
      <c r="AUD13" s="199"/>
      <c r="AUE13" s="199"/>
      <c r="AUF13" s="199"/>
      <c r="AUG13" s="199"/>
      <c r="AUH13" s="199"/>
      <c r="AUI13" s="199"/>
      <c r="AUJ13" s="199"/>
      <c r="AUK13" s="199"/>
      <c r="AUL13" s="199"/>
      <c r="AUM13" s="199"/>
      <c r="AUN13" s="199"/>
      <c r="AUO13" s="199"/>
      <c r="AUP13" s="199"/>
      <c r="AUQ13" s="199"/>
      <c r="AUR13" s="199"/>
      <c r="AUS13" s="199"/>
      <c r="AUT13" s="199"/>
      <c r="AUU13" s="199"/>
      <c r="AUV13" s="199"/>
      <c r="AUW13" s="199"/>
      <c r="AUX13" s="199"/>
      <c r="AUY13" s="199"/>
      <c r="AUZ13" s="199"/>
      <c r="AVA13" s="199"/>
      <c r="AVB13" s="199"/>
      <c r="AVC13" s="199"/>
      <c r="AVD13" s="199"/>
      <c r="AVE13" s="199"/>
      <c r="AVF13" s="199"/>
      <c r="AVG13" s="199"/>
      <c r="AVH13" s="199"/>
      <c r="AVI13" s="199"/>
      <c r="AVJ13" s="199"/>
      <c r="AVK13" s="199"/>
      <c r="AVL13" s="199"/>
      <c r="AVM13" s="199"/>
      <c r="AVN13" s="199"/>
      <c r="AVO13" s="199"/>
      <c r="AVP13" s="199"/>
      <c r="AVQ13" s="200"/>
      <c r="AVR13" s="198" t="s">
        <v>84</v>
      </c>
      <c r="AVS13" s="199"/>
      <c r="AVT13" s="199"/>
      <c r="AVU13" s="199"/>
      <c r="AVV13" s="199"/>
      <c r="AVW13" s="199"/>
      <c r="AVX13" s="199"/>
      <c r="AVY13" s="199"/>
      <c r="AVZ13" s="199"/>
      <c r="AWA13" s="199"/>
      <c r="AWB13" s="199"/>
      <c r="AWC13" s="199"/>
      <c r="AWD13" s="199"/>
      <c r="AWE13" s="199"/>
      <c r="AWF13" s="199"/>
      <c r="AWG13" s="199"/>
      <c r="AWH13" s="199"/>
      <c r="AWI13" s="199"/>
      <c r="AWJ13" s="199"/>
      <c r="AWK13" s="199"/>
      <c r="AWL13" s="199"/>
      <c r="AWM13" s="199"/>
      <c r="AWN13" s="199"/>
      <c r="AWO13" s="199"/>
      <c r="AWP13" s="199"/>
      <c r="AWQ13" s="199"/>
      <c r="AWR13" s="199"/>
      <c r="AWS13" s="199"/>
      <c r="AWT13" s="199"/>
      <c r="AWU13" s="199"/>
      <c r="AWV13" s="199"/>
      <c r="AWW13" s="199"/>
      <c r="AWX13" s="199"/>
      <c r="AWY13" s="199"/>
      <c r="AWZ13" s="199"/>
      <c r="AXA13" s="199"/>
      <c r="AXB13" s="199"/>
      <c r="AXC13" s="199"/>
      <c r="AXD13" s="199"/>
      <c r="AXE13" s="199"/>
      <c r="AXF13" s="199"/>
      <c r="AXG13" s="199"/>
      <c r="AXH13" s="199"/>
      <c r="AXI13" s="199"/>
      <c r="AXJ13" s="199"/>
      <c r="AXK13" s="199"/>
      <c r="AXL13" s="199"/>
      <c r="AXM13" s="199"/>
      <c r="AXN13" s="199"/>
      <c r="AXO13" s="199"/>
      <c r="AXP13" s="199"/>
      <c r="AXQ13" s="199"/>
      <c r="AXR13" s="199"/>
      <c r="AXS13" s="199"/>
      <c r="AXT13" s="199"/>
      <c r="AXU13" s="199"/>
      <c r="AXV13" s="199"/>
      <c r="AXW13" s="199"/>
      <c r="AXX13" s="199"/>
      <c r="AXY13" s="200"/>
      <c r="AXZ13" s="198" t="s">
        <v>82</v>
      </c>
      <c r="AYA13" s="199"/>
      <c r="AYB13" s="199"/>
      <c r="AYC13" s="199"/>
      <c r="AYD13" s="199"/>
      <c r="AYE13" s="199"/>
      <c r="AYF13" s="199"/>
      <c r="AYG13" s="199"/>
      <c r="AYH13" s="199"/>
      <c r="AYI13" s="199"/>
      <c r="AYJ13" s="199"/>
      <c r="AYK13" s="199"/>
      <c r="AYL13" s="199"/>
      <c r="AYM13" s="199"/>
      <c r="AYN13" s="199"/>
      <c r="AYO13" s="199"/>
      <c r="AYP13" s="199"/>
      <c r="AYQ13" s="199"/>
      <c r="AYR13" s="199"/>
      <c r="AYS13" s="199"/>
      <c r="AYT13" s="199"/>
      <c r="AYU13" s="199"/>
      <c r="AYV13" s="199"/>
      <c r="AYW13" s="199"/>
      <c r="AYX13" s="199"/>
      <c r="AYY13" s="199"/>
      <c r="AYZ13" s="199"/>
      <c r="AZA13" s="199"/>
      <c r="AZB13" s="199"/>
      <c r="AZC13" s="199"/>
      <c r="AZD13" s="199"/>
      <c r="AZE13" s="199"/>
      <c r="AZF13" s="199"/>
      <c r="AZG13" s="199"/>
      <c r="AZH13" s="199"/>
      <c r="AZI13" s="199"/>
      <c r="AZJ13" s="199"/>
      <c r="AZK13" s="199"/>
      <c r="AZL13" s="199"/>
      <c r="AZM13" s="199"/>
      <c r="AZN13" s="199"/>
      <c r="AZO13" s="199"/>
      <c r="AZP13" s="199"/>
      <c r="AZQ13" s="199"/>
      <c r="AZR13" s="199"/>
      <c r="AZS13" s="199"/>
      <c r="AZT13" s="199"/>
      <c r="AZU13" s="199"/>
      <c r="AZV13" s="199"/>
      <c r="AZW13" s="199"/>
      <c r="AZX13" s="199"/>
      <c r="AZY13" s="199"/>
      <c r="AZZ13" s="199"/>
      <c r="BAA13" s="199"/>
      <c r="BAB13" s="199"/>
      <c r="BAC13" s="199"/>
      <c r="BAD13" s="199"/>
      <c r="BAE13" s="199"/>
      <c r="BAF13" s="199"/>
      <c r="BAG13" s="200"/>
      <c r="BAH13" s="198" t="s">
        <v>81</v>
      </c>
      <c r="BAI13" s="199"/>
      <c r="BAJ13" s="199"/>
      <c r="BAK13" s="199"/>
      <c r="BAL13" s="199"/>
      <c r="BAM13" s="199"/>
      <c r="BAN13" s="199"/>
      <c r="BAO13" s="199"/>
      <c r="BAP13" s="199"/>
      <c r="BAQ13" s="199"/>
      <c r="BAR13" s="199"/>
      <c r="BAS13" s="199"/>
      <c r="BAT13" s="199"/>
      <c r="BAU13" s="199"/>
      <c r="BAV13" s="199"/>
      <c r="BAW13" s="199"/>
      <c r="BAX13" s="199"/>
      <c r="BAY13" s="199"/>
      <c r="BAZ13" s="199"/>
      <c r="BBA13" s="199"/>
      <c r="BBB13" s="199"/>
      <c r="BBC13" s="199"/>
      <c r="BBD13" s="199"/>
      <c r="BBE13" s="199"/>
      <c r="BBF13" s="199"/>
      <c r="BBG13" s="199"/>
      <c r="BBH13" s="199"/>
      <c r="BBI13" s="199"/>
      <c r="BBJ13" s="199"/>
      <c r="BBK13" s="199"/>
      <c r="BBL13" s="199"/>
      <c r="BBM13" s="199"/>
      <c r="BBN13" s="199"/>
      <c r="BBO13" s="199"/>
      <c r="BBP13" s="199"/>
      <c r="BBQ13" s="199"/>
      <c r="BBR13" s="199"/>
      <c r="BBS13" s="199"/>
      <c r="BBT13" s="199"/>
      <c r="BBU13" s="199"/>
      <c r="BBV13" s="199"/>
      <c r="BBW13" s="199"/>
      <c r="BBX13" s="199"/>
      <c r="BBY13" s="199"/>
      <c r="BBZ13" s="199"/>
      <c r="BCA13" s="199"/>
      <c r="BCB13" s="199"/>
      <c r="BCC13" s="199"/>
      <c r="BCD13" s="199"/>
      <c r="BCE13" s="199"/>
      <c r="BCF13" s="199"/>
      <c r="BCG13" s="199"/>
      <c r="BCH13" s="199"/>
      <c r="BCI13" s="199"/>
      <c r="BCJ13" s="199"/>
      <c r="BCK13" s="199"/>
      <c r="BCL13" s="199"/>
      <c r="BCM13" s="199"/>
      <c r="BCN13" s="199"/>
      <c r="BCO13" s="200"/>
      <c r="BCP13" s="198" t="s">
        <v>79</v>
      </c>
      <c r="BCQ13" s="199"/>
      <c r="BCR13" s="199"/>
      <c r="BCS13" s="199"/>
      <c r="BCT13" s="199"/>
      <c r="BCU13" s="199"/>
      <c r="BCV13" s="199"/>
      <c r="BCW13" s="199"/>
      <c r="BCX13" s="199"/>
      <c r="BCY13" s="199"/>
      <c r="BCZ13" s="199"/>
      <c r="BDA13" s="199"/>
      <c r="BDB13" s="199"/>
      <c r="BDC13" s="199"/>
      <c r="BDD13" s="199"/>
      <c r="BDE13" s="199"/>
      <c r="BDF13" s="199"/>
      <c r="BDG13" s="199"/>
      <c r="BDH13" s="199"/>
      <c r="BDI13" s="199"/>
      <c r="BDJ13" s="199"/>
      <c r="BDK13" s="199"/>
      <c r="BDL13" s="199"/>
      <c r="BDM13" s="199"/>
      <c r="BDN13" s="199"/>
      <c r="BDO13" s="199"/>
      <c r="BDP13" s="199"/>
      <c r="BDQ13" s="199"/>
      <c r="BDR13" s="199"/>
      <c r="BDS13" s="199"/>
      <c r="BDT13" s="199"/>
      <c r="BDU13" s="199"/>
      <c r="BDV13" s="199"/>
      <c r="BDW13" s="199"/>
      <c r="BDX13" s="199"/>
      <c r="BDY13" s="199"/>
      <c r="BDZ13" s="199"/>
      <c r="BEA13" s="199"/>
      <c r="BEB13" s="199"/>
      <c r="BEC13" s="199"/>
      <c r="BED13" s="199"/>
      <c r="BEE13" s="199"/>
      <c r="BEF13" s="199"/>
      <c r="BEG13" s="199"/>
      <c r="BEH13" s="199"/>
      <c r="BEI13" s="199"/>
      <c r="BEJ13" s="199"/>
      <c r="BEK13" s="199"/>
      <c r="BEL13" s="199"/>
      <c r="BEM13" s="199"/>
      <c r="BEN13" s="199"/>
      <c r="BEO13" s="199"/>
      <c r="BEP13" s="199"/>
      <c r="BEQ13" s="199"/>
      <c r="BER13" s="199"/>
      <c r="BES13" s="199"/>
      <c r="BET13" s="199"/>
      <c r="BEU13" s="199"/>
      <c r="BEV13" s="199"/>
      <c r="BEW13" s="200"/>
      <c r="BEX13" s="198" t="s">
        <v>78</v>
      </c>
      <c r="BEY13" s="199"/>
      <c r="BEZ13" s="199"/>
      <c r="BFA13" s="199"/>
      <c r="BFB13" s="199"/>
      <c r="BFC13" s="199"/>
      <c r="BFD13" s="199"/>
      <c r="BFE13" s="199"/>
      <c r="BFF13" s="199"/>
      <c r="BFG13" s="199"/>
      <c r="BFH13" s="199"/>
      <c r="BFI13" s="199"/>
      <c r="BFJ13" s="199"/>
      <c r="BFK13" s="199"/>
      <c r="BFL13" s="199"/>
      <c r="BFM13" s="199"/>
      <c r="BFN13" s="199"/>
      <c r="BFO13" s="199"/>
      <c r="BFP13" s="199"/>
      <c r="BFQ13" s="199"/>
      <c r="BFR13" s="199"/>
      <c r="BFS13" s="199"/>
      <c r="BFT13" s="199"/>
      <c r="BFU13" s="199"/>
      <c r="BFV13" s="199"/>
      <c r="BFW13" s="199"/>
      <c r="BFX13" s="199"/>
      <c r="BFY13" s="199"/>
      <c r="BFZ13" s="199"/>
      <c r="BGA13" s="199"/>
      <c r="BGB13" s="199"/>
      <c r="BGC13" s="199"/>
      <c r="BGD13" s="199"/>
      <c r="BGE13" s="199"/>
      <c r="BGF13" s="199"/>
      <c r="BGG13" s="199"/>
      <c r="BGH13" s="199"/>
      <c r="BGI13" s="199"/>
      <c r="BGJ13" s="199"/>
      <c r="BGK13" s="199"/>
      <c r="BGL13" s="199"/>
      <c r="BGM13" s="199"/>
      <c r="BGN13" s="199"/>
      <c r="BGO13" s="199"/>
      <c r="BGP13" s="199"/>
      <c r="BGQ13" s="199"/>
      <c r="BGR13" s="199"/>
      <c r="BGS13" s="199"/>
      <c r="BGT13" s="199"/>
      <c r="BGU13" s="199"/>
      <c r="BGV13" s="199"/>
      <c r="BGW13" s="199"/>
      <c r="BGX13" s="199"/>
      <c r="BGY13" s="199"/>
      <c r="BGZ13" s="199"/>
      <c r="BHA13" s="199"/>
      <c r="BHB13" s="199"/>
      <c r="BHC13" s="199"/>
      <c r="BHD13" s="199"/>
      <c r="BHE13" s="200"/>
      <c r="BHF13" s="198" t="s">
        <v>76</v>
      </c>
      <c r="BHG13" s="199"/>
      <c r="BHH13" s="199"/>
      <c r="BHI13" s="199"/>
      <c r="BHJ13" s="199"/>
      <c r="BHK13" s="199"/>
      <c r="BHL13" s="199"/>
      <c r="BHM13" s="199"/>
      <c r="BHN13" s="199"/>
      <c r="BHO13" s="199"/>
      <c r="BHP13" s="199"/>
      <c r="BHQ13" s="199"/>
      <c r="BHR13" s="199"/>
      <c r="BHS13" s="199"/>
      <c r="BHT13" s="199"/>
      <c r="BHU13" s="199"/>
      <c r="BHV13" s="199"/>
      <c r="BHW13" s="199"/>
      <c r="BHX13" s="199"/>
      <c r="BHY13" s="199"/>
      <c r="BHZ13" s="199"/>
      <c r="BIA13" s="199"/>
      <c r="BIB13" s="199"/>
      <c r="BIC13" s="199"/>
      <c r="BID13" s="199"/>
      <c r="BIE13" s="199"/>
      <c r="BIF13" s="199"/>
      <c r="BIG13" s="199"/>
      <c r="BIH13" s="199"/>
      <c r="BII13" s="199"/>
      <c r="BIJ13" s="199"/>
      <c r="BIK13" s="199"/>
      <c r="BIL13" s="199"/>
      <c r="BIM13" s="199"/>
      <c r="BIN13" s="199"/>
      <c r="BIO13" s="199"/>
      <c r="BIP13" s="199"/>
      <c r="BIQ13" s="199"/>
      <c r="BIR13" s="199"/>
      <c r="BIS13" s="199"/>
      <c r="BIT13" s="199"/>
      <c r="BIU13" s="199"/>
      <c r="BIV13" s="199"/>
      <c r="BIW13" s="199"/>
      <c r="BIX13" s="199"/>
      <c r="BIY13" s="199"/>
      <c r="BIZ13" s="199"/>
      <c r="BJA13" s="199"/>
      <c r="BJB13" s="199"/>
      <c r="BJC13" s="199"/>
      <c r="BJD13" s="199"/>
      <c r="BJE13" s="199"/>
      <c r="BJF13" s="199"/>
      <c r="BJG13" s="199"/>
      <c r="BJH13" s="199"/>
      <c r="BJI13" s="199"/>
      <c r="BJJ13" s="199"/>
      <c r="BJK13" s="199"/>
      <c r="BJL13" s="199"/>
      <c r="BJM13" s="200"/>
      <c r="BJN13" s="198" t="s">
        <v>11</v>
      </c>
      <c r="BJO13" s="199"/>
      <c r="BJP13" s="199"/>
      <c r="BJQ13" s="199"/>
      <c r="BJR13" s="199"/>
      <c r="BJS13" s="199"/>
      <c r="BJT13" s="199"/>
      <c r="BJU13" s="199"/>
      <c r="BJV13" s="199"/>
      <c r="BJW13" s="199"/>
      <c r="BJX13" s="199"/>
      <c r="BJY13" s="199"/>
      <c r="BJZ13" s="199"/>
      <c r="BKA13" s="199"/>
      <c r="BKB13" s="199"/>
      <c r="BKC13" s="199"/>
      <c r="BKD13" s="199"/>
      <c r="BKE13" s="199"/>
      <c r="BKF13" s="199"/>
      <c r="BKG13" s="199"/>
      <c r="BKH13" s="199"/>
      <c r="BKI13" s="199"/>
      <c r="BKJ13" s="199"/>
      <c r="BKK13" s="199"/>
      <c r="BKL13" s="199"/>
      <c r="BKM13" s="199"/>
      <c r="BKN13" s="199"/>
      <c r="BKO13" s="199"/>
      <c r="BKP13" s="199"/>
      <c r="BKQ13" s="199"/>
      <c r="BKR13" s="199"/>
      <c r="BKS13" s="199"/>
      <c r="BKT13" s="199"/>
      <c r="BKU13" s="199"/>
      <c r="BKV13" s="199"/>
      <c r="BKW13" s="199"/>
      <c r="BKX13" s="199"/>
      <c r="BKY13" s="199"/>
      <c r="BKZ13" s="199"/>
      <c r="BLA13" s="199"/>
      <c r="BLB13" s="199"/>
      <c r="BLC13" s="199"/>
      <c r="BLD13" s="199"/>
      <c r="BLE13" s="199"/>
      <c r="BLF13" s="199"/>
      <c r="BLG13" s="199"/>
      <c r="BLH13" s="199"/>
      <c r="BLI13" s="199"/>
      <c r="BLJ13" s="199"/>
      <c r="BLK13" s="199"/>
      <c r="BLL13" s="199"/>
      <c r="BLM13" s="199"/>
      <c r="BLN13" s="199"/>
      <c r="BLO13" s="199"/>
      <c r="BLP13" s="199"/>
      <c r="BLQ13" s="199"/>
      <c r="BLR13" s="199"/>
      <c r="BLS13" s="199"/>
      <c r="BLT13" s="199"/>
      <c r="BLU13" s="200"/>
      <c r="BLV13" s="198" t="s">
        <v>11</v>
      </c>
      <c r="BLW13" s="199"/>
      <c r="BLX13" s="199"/>
      <c r="BLY13" s="199"/>
      <c r="BLZ13" s="199"/>
      <c r="BMA13" s="199"/>
      <c r="BMB13" s="199"/>
      <c r="BMC13" s="199"/>
      <c r="BMD13" s="199"/>
      <c r="BME13" s="199"/>
      <c r="BMF13" s="199"/>
      <c r="BMG13" s="199"/>
      <c r="BMH13" s="199"/>
      <c r="BMI13" s="199"/>
      <c r="BMJ13" s="199"/>
      <c r="BMK13" s="199"/>
      <c r="BML13" s="199"/>
      <c r="BMM13" s="199"/>
      <c r="BMN13" s="199"/>
      <c r="BMO13" s="199"/>
      <c r="BMP13" s="199"/>
      <c r="BMQ13" s="199"/>
      <c r="BMR13" s="199"/>
      <c r="BMS13" s="199"/>
      <c r="BMT13" s="199"/>
      <c r="BMU13" s="199"/>
      <c r="BMV13" s="199"/>
      <c r="BMW13" s="199"/>
      <c r="BMX13" s="199"/>
      <c r="BMY13" s="199"/>
      <c r="BMZ13" s="199"/>
      <c r="BNA13" s="199"/>
      <c r="BNB13" s="199"/>
      <c r="BNC13" s="199"/>
      <c r="BND13" s="199"/>
      <c r="BNE13" s="199"/>
      <c r="BNF13" s="199"/>
      <c r="BNG13" s="199"/>
      <c r="BNH13" s="199"/>
      <c r="BNI13" s="199"/>
      <c r="BNJ13" s="199"/>
      <c r="BNK13" s="199"/>
      <c r="BNL13" s="199"/>
      <c r="BNM13" s="199"/>
      <c r="BNN13" s="199"/>
      <c r="BNO13" s="199"/>
      <c r="BNP13" s="199"/>
      <c r="BNQ13" s="199"/>
      <c r="BNR13" s="199"/>
      <c r="BNS13" s="199"/>
      <c r="BNT13" s="199"/>
      <c r="BNU13" s="199"/>
      <c r="BNV13" s="199"/>
      <c r="BNW13" s="199"/>
      <c r="BNX13" s="199"/>
      <c r="BNY13" s="199"/>
      <c r="BNZ13" s="199"/>
      <c r="BOA13" s="199"/>
      <c r="BOB13" s="199"/>
      <c r="BOC13" s="200"/>
      <c r="BOD13" s="90"/>
    </row>
    <row r="14" spans="1:1746" ht="12.75" customHeight="1" thickBot="1" x14ac:dyDescent="0.35">
      <c r="B14" s="96"/>
      <c r="C14" s="215"/>
      <c r="D14" s="145"/>
      <c r="E14" s="217"/>
      <c r="F14" s="103"/>
      <c r="G14" s="104"/>
      <c r="H14" s="104"/>
      <c r="I14" s="104"/>
      <c r="J14" s="201" t="s">
        <v>33</v>
      </c>
      <c r="K14" s="201"/>
      <c r="L14" s="201"/>
      <c r="M14" s="201"/>
      <c r="N14" s="104"/>
      <c r="O14" s="104"/>
      <c r="P14" s="202" t="s">
        <v>23</v>
      </c>
      <c r="Q14" s="202"/>
      <c r="R14" s="202"/>
      <c r="S14" s="202"/>
      <c r="T14" s="129"/>
      <c r="U14" s="129"/>
      <c r="V14" s="201" t="s">
        <v>34</v>
      </c>
      <c r="W14" s="201"/>
      <c r="X14" s="201"/>
      <c r="Y14" s="201"/>
      <c r="Z14" s="104"/>
      <c r="AA14" s="104"/>
      <c r="AB14" s="202" t="s">
        <v>24</v>
      </c>
      <c r="AC14" s="202"/>
      <c r="AD14" s="202"/>
      <c r="AE14" s="202"/>
      <c r="AF14" s="129"/>
      <c r="AG14" s="129"/>
      <c r="AH14" s="201" t="s">
        <v>35</v>
      </c>
      <c r="AI14" s="201"/>
      <c r="AJ14" s="201"/>
      <c r="AK14" s="201"/>
      <c r="AL14" s="104"/>
      <c r="AM14" s="104"/>
      <c r="AN14" s="202" t="s">
        <v>25</v>
      </c>
      <c r="AO14" s="202"/>
      <c r="AP14" s="202"/>
      <c r="AQ14" s="202"/>
      <c r="AR14" s="129"/>
      <c r="AS14" s="129"/>
      <c r="AT14" s="201" t="s">
        <v>36</v>
      </c>
      <c r="AU14" s="201"/>
      <c r="AV14" s="201"/>
      <c r="AW14" s="201"/>
      <c r="AX14" s="104"/>
      <c r="AY14" s="104"/>
      <c r="AZ14" s="202" t="s">
        <v>26</v>
      </c>
      <c r="BA14" s="202"/>
      <c r="BB14" s="202"/>
      <c r="BC14" s="202"/>
      <c r="BD14" s="129"/>
      <c r="BE14" s="129"/>
      <c r="BF14" s="201" t="s">
        <v>37</v>
      </c>
      <c r="BG14" s="201"/>
      <c r="BH14" s="201"/>
      <c r="BI14" s="201"/>
      <c r="BJ14" s="104"/>
      <c r="BK14" s="104"/>
      <c r="BL14" s="104"/>
      <c r="BM14" s="105"/>
      <c r="BN14" s="103"/>
      <c r="BO14" s="104"/>
      <c r="BP14" s="104"/>
      <c r="BQ14" s="104"/>
      <c r="BR14" s="201" t="s">
        <v>33</v>
      </c>
      <c r="BS14" s="201"/>
      <c r="BT14" s="201"/>
      <c r="BU14" s="201"/>
      <c r="BV14" s="104"/>
      <c r="BW14" s="104"/>
      <c r="BX14" s="202" t="s">
        <v>23</v>
      </c>
      <c r="BY14" s="202"/>
      <c r="BZ14" s="202"/>
      <c r="CA14" s="202"/>
      <c r="CB14" s="129"/>
      <c r="CC14" s="129"/>
      <c r="CD14" s="201" t="s">
        <v>34</v>
      </c>
      <c r="CE14" s="201"/>
      <c r="CF14" s="201"/>
      <c r="CG14" s="201"/>
      <c r="CH14" s="104"/>
      <c r="CI14" s="104"/>
      <c r="CJ14" s="202" t="s">
        <v>24</v>
      </c>
      <c r="CK14" s="202"/>
      <c r="CL14" s="202"/>
      <c r="CM14" s="202"/>
      <c r="CN14" s="129"/>
      <c r="CO14" s="129"/>
      <c r="CP14" s="201" t="s">
        <v>35</v>
      </c>
      <c r="CQ14" s="201"/>
      <c r="CR14" s="201"/>
      <c r="CS14" s="201"/>
      <c r="CT14" s="104"/>
      <c r="CU14" s="104"/>
      <c r="CV14" s="202" t="s">
        <v>25</v>
      </c>
      <c r="CW14" s="202"/>
      <c r="CX14" s="202"/>
      <c r="CY14" s="202"/>
      <c r="CZ14" s="129"/>
      <c r="DA14" s="129"/>
      <c r="DB14" s="201" t="s">
        <v>36</v>
      </c>
      <c r="DC14" s="201"/>
      <c r="DD14" s="201"/>
      <c r="DE14" s="201"/>
      <c r="DF14" s="104"/>
      <c r="DG14" s="104"/>
      <c r="DH14" s="202" t="s">
        <v>26</v>
      </c>
      <c r="DI14" s="202"/>
      <c r="DJ14" s="202"/>
      <c r="DK14" s="202"/>
      <c r="DL14" s="129"/>
      <c r="DM14" s="129"/>
      <c r="DN14" s="201" t="s">
        <v>37</v>
      </c>
      <c r="DO14" s="201"/>
      <c r="DP14" s="201"/>
      <c r="DQ14" s="201"/>
      <c r="DR14" s="104"/>
      <c r="DS14" s="104"/>
      <c r="DT14" s="104"/>
      <c r="DU14" s="105"/>
      <c r="DV14" s="103"/>
      <c r="DW14" s="104"/>
      <c r="DX14" s="104"/>
      <c r="DY14" s="104"/>
      <c r="DZ14" s="201" t="s">
        <v>33</v>
      </c>
      <c r="EA14" s="201"/>
      <c r="EB14" s="201"/>
      <c r="EC14" s="201"/>
      <c r="ED14" s="104"/>
      <c r="EE14" s="104"/>
      <c r="EF14" s="202" t="s">
        <v>23</v>
      </c>
      <c r="EG14" s="202"/>
      <c r="EH14" s="202"/>
      <c r="EI14" s="202"/>
      <c r="EJ14" s="129"/>
      <c r="EK14" s="129"/>
      <c r="EL14" s="201" t="s">
        <v>34</v>
      </c>
      <c r="EM14" s="201"/>
      <c r="EN14" s="201"/>
      <c r="EO14" s="201"/>
      <c r="EP14" s="104"/>
      <c r="EQ14" s="104"/>
      <c r="ER14" s="202" t="s">
        <v>24</v>
      </c>
      <c r="ES14" s="202"/>
      <c r="ET14" s="202"/>
      <c r="EU14" s="202"/>
      <c r="EV14" s="129"/>
      <c r="EW14" s="129"/>
      <c r="EX14" s="201" t="s">
        <v>35</v>
      </c>
      <c r="EY14" s="201"/>
      <c r="EZ14" s="201"/>
      <c r="FA14" s="201"/>
      <c r="FB14" s="104"/>
      <c r="FC14" s="104"/>
      <c r="FD14" s="202" t="s">
        <v>25</v>
      </c>
      <c r="FE14" s="202"/>
      <c r="FF14" s="202"/>
      <c r="FG14" s="202"/>
      <c r="FH14" s="129"/>
      <c r="FI14" s="129"/>
      <c r="FJ14" s="201" t="s">
        <v>36</v>
      </c>
      <c r="FK14" s="201"/>
      <c r="FL14" s="201"/>
      <c r="FM14" s="201"/>
      <c r="FN14" s="104"/>
      <c r="FO14" s="104"/>
      <c r="FP14" s="202" t="s">
        <v>26</v>
      </c>
      <c r="FQ14" s="202"/>
      <c r="FR14" s="202"/>
      <c r="FS14" s="202"/>
      <c r="FT14" s="129"/>
      <c r="FU14" s="129"/>
      <c r="FV14" s="201" t="s">
        <v>37</v>
      </c>
      <c r="FW14" s="201"/>
      <c r="FX14" s="201"/>
      <c r="FY14" s="201"/>
      <c r="FZ14" s="104"/>
      <c r="GA14" s="104"/>
      <c r="GB14" s="104"/>
      <c r="GC14" s="105"/>
      <c r="GD14" s="103"/>
      <c r="GE14" s="104"/>
      <c r="GF14" s="104"/>
      <c r="GG14" s="104"/>
      <c r="GH14" s="201" t="s">
        <v>33</v>
      </c>
      <c r="GI14" s="201"/>
      <c r="GJ14" s="201"/>
      <c r="GK14" s="201"/>
      <c r="GL14" s="104"/>
      <c r="GM14" s="104"/>
      <c r="GN14" s="202" t="s">
        <v>23</v>
      </c>
      <c r="GO14" s="202"/>
      <c r="GP14" s="202"/>
      <c r="GQ14" s="202"/>
      <c r="GR14" s="129"/>
      <c r="GS14" s="129"/>
      <c r="GT14" s="201" t="s">
        <v>34</v>
      </c>
      <c r="GU14" s="201"/>
      <c r="GV14" s="201"/>
      <c r="GW14" s="201"/>
      <c r="GX14" s="104"/>
      <c r="GY14" s="104"/>
      <c r="GZ14" s="202" t="s">
        <v>24</v>
      </c>
      <c r="HA14" s="202"/>
      <c r="HB14" s="202"/>
      <c r="HC14" s="202"/>
      <c r="HD14" s="129"/>
      <c r="HE14" s="129"/>
      <c r="HF14" s="201" t="s">
        <v>35</v>
      </c>
      <c r="HG14" s="201"/>
      <c r="HH14" s="201"/>
      <c r="HI14" s="201"/>
      <c r="HJ14" s="104"/>
      <c r="HK14" s="104"/>
      <c r="HL14" s="202" t="s">
        <v>25</v>
      </c>
      <c r="HM14" s="202"/>
      <c r="HN14" s="202"/>
      <c r="HO14" s="202"/>
      <c r="HP14" s="129"/>
      <c r="HQ14" s="129"/>
      <c r="HR14" s="201" t="s">
        <v>36</v>
      </c>
      <c r="HS14" s="201"/>
      <c r="HT14" s="201"/>
      <c r="HU14" s="201"/>
      <c r="HV14" s="104"/>
      <c r="HW14" s="104"/>
      <c r="HX14" s="202" t="s">
        <v>26</v>
      </c>
      <c r="HY14" s="202"/>
      <c r="HZ14" s="202"/>
      <c r="IA14" s="202"/>
      <c r="IB14" s="129"/>
      <c r="IC14" s="129"/>
      <c r="ID14" s="201" t="s">
        <v>37</v>
      </c>
      <c r="IE14" s="201"/>
      <c r="IF14" s="201"/>
      <c r="IG14" s="201"/>
      <c r="IH14" s="104"/>
      <c r="II14" s="104"/>
      <c r="IJ14" s="104"/>
      <c r="IK14" s="105"/>
      <c r="IL14" s="103"/>
      <c r="IM14" s="104"/>
      <c r="IN14" s="104"/>
      <c r="IO14" s="104"/>
      <c r="IP14" s="201" t="s">
        <v>33</v>
      </c>
      <c r="IQ14" s="201"/>
      <c r="IR14" s="201"/>
      <c r="IS14" s="201"/>
      <c r="IT14" s="104"/>
      <c r="IU14" s="104"/>
      <c r="IV14" s="202" t="s">
        <v>23</v>
      </c>
      <c r="IW14" s="202"/>
      <c r="IX14" s="202"/>
      <c r="IY14" s="202"/>
      <c r="IZ14" s="129"/>
      <c r="JA14" s="129"/>
      <c r="JB14" s="201" t="s">
        <v>34</v>
      </c>
      <c r="JC14" s="201"/>
      <c r="JD14" s="201"/>
      <c r="JE14" s="201"/>
      <c r="JF14" s="104"/>
      <c r="JG14" s="104"/>
      <c r="JH14" s="202" t="s">
        <v>24</v>
      </c>
      <c r="JI14" s="202"/>
      <c r="JJ14" s="202"/>
      <c r="JK14" s="202"/>
      <c r="JL14" s="129"/>
      <c r="JM14" s="129"/>
      <c r="JN14" s="201" t="s">
        <v>35</v>
      </c>
      <c r="JO14" s="201"/>
      <c r="JP14" s="201"/>
      <c r="JQ14" s="201"/>
      <c r="JR14" s="104"/>
      <c r="JS14" s="104"/>
      <c r="JT14" s="202" t="s">
        <v>25</v>
      </c>
      <c r="JU14" s="202"/>
      <c r="JV14" s="202"/>
      <c r="JW14" s="202"/>
      <c r="JX14" s="129"/>
      <c r="JY14" s="129"/>
      <c r="JZ14" s="201" t="s">
        <v>36</v>
      </c>
      <c r="KA14" s="201"/>
      <c r="KB14" s="201"/>
      <c r="KC14" s="201"/>
      <c r="KD14" s="104"/>
      <c r="KE14" s="104"/>
      <c r="KF14" s="202" t="s">
        <v>26</v>
      </c>
      <c r="KG14" s="202"/>
      <c r="KH14" s="202"/>
      <c r="KI14" s="202"/>
      <c r="KJ14" s="129"/>
      <c r="KK14" s="129"/>
      <c r="KL14" s="201" t="s">
        <v>37</v>
      </c>
      <c r="KM14" s="201"/>
      <c r="KN14" s="201"/>
      <c r="KO14" s="201"/>
      <c r="KP14" s="104"/>
      <c r="KQ14" s="104"/>
      <c r="KR14" s="104"/>
      <c r="KS14" s="105"/>
      <c r="KT14" s="103"/>
      <c r="KU14" s="104"/>
      <c r="KV14" s="104"/>
      <c r="KW14" s="104"/>
      <c r="KX14" s="201" t="s">
        <v>33</v>
      </c>
      <c r="KY14" s="201"/>
      <c r="KZ14" s="201"/>
      <c r="LA14" s="201"/>
      <c r="LB14" s="104"/>
      <c r="LC14" s="104"/>
      <c r="LD14" s="202" t="s">
        <v>23</v>
      </c>
      <c r="LE14" s="202"/>
      <c r="LF14" s="202"/>
      <c r="LG14" s="202"/>
      <c r="LH14" s="129"/>
      <c r="LI14" s="129"/>
      <c r="LJ14" s="201" t="s">
        <v>34</v>
      </c>
      <c r="LK14" s="201"/>
      <c r="LL14" s="201"/>
      <c r="LM14" s="201"/>
      <c r="LN14" s="104"/>
      <c r="LO14" s="104"/>
      <c r="LP14" s="202" t="s">
        <v>24</v>
      </c>
      <c r="LQ14" s="202"/>
      <c r="LR14" s="202"/>
      <c r="LS14" s="202"/>
      <c r="LT14" s="129"/>
      <c r="LU14" s="129"/>
      <c r="LV14" s="201" t="s">
        <v>35</v>
      </c>
      <c r="LW14" s="201"/>
      <c r="LX14" s="201"/>
      <c r="LY14" s="201"/>
      <c r="LZ14" s="104"/>
      <c r="MA14" s="104"/>
      <c r="MB14" s="202" t="s">
        <v>25</v>
      </c>
      <c r="MC14" s="202"/>
      <c r="MD14" s="202"/>
      <c r="ME14" s="202"/>
      <c r="MF14" s="129"/>
      <c r="MG14" s="129"/>
      <c r="MH14" s="201" t="s">
        <v>36</v>
      </c>
      <c r="MI14" s="201"/>
      <c r="MJ14" s="201"/>
      <c r="MK14" s="201"/>
      <c r="ML14" s="104"/>
      <c r="MM14" s="104"/>
      <c r="MN14" s="202" t="s">
        <v>26</v>
      </c>
      <c r="MO14" s="202"/>
      <c r="MP14" s="202"/>
      <c r="MQ14" s="202"/>
      <c r="MR14" s="129"/>
      <c r="MS14" s="129"/>
      <c r="MT14" s="201" t="s">
        <v>37</v>
      </c>
      <c r="MU14" s="201"/>
      <c r="MV14" s="201"/>
      <c r="MW14" s="201"/>
      <c r="MX14" s="104"/>
      <c r="MY14" s="104"/>
      <c r="MZ14" s="104"/>
      <c r="NA14" s="105"/>
      <c r="NB14" s="103"/>
      <c r="NC14" s="104"/>
      <c r="ND14" s="104"/>
      <c r="NE14" s="104"/>
      <c r="NF14" s="201" t="s">
        <v>33</v>
      </c>
      <c r="NG14" s="201"/>
      <c r="NH14" s="201"/>
      <c r="NI14" s="201"/>
      <c r="NJ14" s="104"/>
      <c r="NK14" s="104"/>
      <c r="NL14" s="202" t="s">
        <v>23</v>
      </c>
      <c r="NM14" s="202"/>
      <c r="NN14" s="202"/>
      <c r="NO14" s="202"/>
      <c r="NP14" s="129"/>
      <c r="NQ14" s="129"/>
      <c r="NR14" s="201" t="s">
        <v>34</v>
      </c>
      <c r="NS14" s="201"/>
      <c r="NT14" s="201"/>
      <c r="NU14" s="201"/>
      <c r="NV14" s="104"/>
      <c r="NW14" s="104"/>
      <c r="NX14" s="202" t="s">
        <v>24</v>
      </c>
      <c r="NY14" s="202"/>
      <c r="NZ14" s="202"/>
      <c r="OA14" s="202"/>
      <c r="OB14" s="129"/>
      <c r="OC14" s="129"/>
      <c r="OD14" s="201" t="s">
        <v>35</v>
      </c>
      <c r="OE14" s="201"/>
      <c r="OF14" s="201"/>
      <c r="OG14" s="201"/>
      <c r="OH14" s="104"/>
      <c r="OI14" s="104"/>
      <c r="OJ14" s="202" t="s">
        <v>25</v>
      </c>
      <c r="OK14" s="202"/>
      <c r="OL14" s="202"/>
      <c r="OM14" s="202"/>
      <c r="ON14" s="129"/>
      <c r="OO14" s="129"/>
      <c r="OP14" s="201" t="s">
        <v>36</v>
      </c>
      <c r="OQ14" s="201"/>
      <c r="OR14" s="201"/>
      <c r="OS14" s="201"/>
      <c r="OT14" s="104"/>
      <c r="OU14" s="104"/>
      <c r="OV14" s="202" t="s">
        <v>26</v>
      </c>
      <c r="OW14" s="202"/>
      <c r="OX14" s="202"/>
      <c r="OY14" s="202"/>
      <c r="OZ14" s="129"/>
      <c r="PA14" s="129"/>
      <c r="PB14" s="201" t="s">
        <v>37</v>
      </c>
      <c r="PC14" s="201"/>
      <c r="PD14" s="201"/>
      <c r="PE14" s="201"/>
      <c r="PF14" s="104"/>
      <c r="PG14" s="104"/>
      <c r="PH14" s="104"/>
      <c r="PI14" s="105"/>
      <c r="PJ14" s="103"/>
      <c r="PK14" s="104"/>
      <c r="PL14" s="104"/>
      <c r="PM14" s="104"/>
      <c r="PN14" s="201" t="s">
        <v>33</v>
      </c>
      <c r="PO14" s="201"/>
      <c r="PP14" s="201"/>
      <c r="PQ14" s="201"/>
      <c r="PR14" s="104"/>
      <c r="PS14" s="104"/>
      <c r="PT14" s="202" t="s">
        <v>23</v>
      </c>
      <c r="PU14" s="202"/>
      <c r="PV14" s="202"/>
      <c r="PW14" s="202"/>
      <c r="PX14" s="129"/>
      <c r="PY14" s="129"/>
      <c r="PZ14" s="201" t="s">
        <v>34</v>
      </c>
      <c r="QA14" s="201"/>
      <c r="QB14" s="201"/>
      <c r="QC14" s="201"/>
      <c r="QD14" s="104"/>
      <c r="QE14" s="104"/>
      <c r="QF14" s="202" t="s">
        <v>24</v>
      </c>
      <c r="QG14" s="202"/>
      <c r="QH14" s="202"/>
      <c r="QI14" s="202"/>
      <c r="QJ14" s="129"/>
      <c r="QK14" s="129"/>
      <c r="QL14" s="201" t="s">
        <v>35</v>
      </c>
      <c r="QM14" s="201"/>
      <c r="QN14" s="201"/>
      <c r="QO14" s="201"/>
      <c r="QP14" s="104"/>
      <c r="QQ14" s="104"/>
      <c r="QR14" s="202" t="s">
        <v>25</v>
      </c>
      <c r="QS14" s="202"/>
      <c r="QT14" s="202"/>
      <c r="QU14" s="202"/>
      <c r="QV14" s="129"/>
      <c r="QW14" s="129"/>
      <c r="QX14" s="201" t="s">
        <v>36</v>
      </c>
      <c r="QY14" s="201"/>
      <c r="QZ14" s="201"/>
      <c r="RA14" s="201"/>
      <c r="RB14" s="104"/>
      <c r="RC14" s="104"/>
      <c r="RD14" s="202" t="s">
        <v>26</v>
      </c>
      <c r="RE14" s="202"/>
      <c r="RF14" s="202"/>
      <c r="RG14" s="202"/>
      <c r="RH14" s="129"/>
      <c r="RI14" s="129"/>
      <c r="RJ14" s="201" t="s">
        <v>37</v>
      </c>
      <c r="RK14" s="201"/>
      <c r="RL14" s="201"/>
      <c r="RM14" s="201"/>
      <c r="RN14" s="104"/>
      <c r="RO14" s="104"/>
      <c r="RP14" s="104"/>
      <c r="RQ14" s="105"/>
      <c r="RR14" s="103"/>
      <c r="RS14" s="104"/>
      <c r="RT14" s="104"/>
      <c r="RU14" s="104"/>
      <c r="RV14" s="201" t="s">
        <v>33</v>
      </c>
      <c r="RW14" s="201"/>
      <c r="RX14" s="201"/>
      <c r="RY14" s="201"/>
      <c r="RZ14" s="104"/>
      <c r="SA14" s="104"/>
      <c r="SB14" s="202" t="s">
        <v>23</v>
      </c>
      <c r="SC14" s="202"/>
      <c r="SD14" s="202"/>
      <c r="SE14" s="202"/>
      <c r="SF14" s="129"/>
      <c r="SG14" s="129"/>
      <c r="SH14" s="201" t="s">
        <v>34</v>
      </c>
      <c r="SI14" s="201"/>
      <c r="SJ14" s="201"/>
      <c r="SK14" s="201"/>
      <c r="SL14" s="104"/>
      <c r="SM14" s="104"/>
      <c r="SN14" s="202" t="s">
        <v>24</v>
      </c>
      <c r="SO14" s="202"/>
      <c r="SP14" s="202"/>
      <c r="SQ14" s="202"/>
      <c r="SR14" s="129"/>
      <c r="SS14" s="129"/>
      <c r="ST14" s="201" t="s">
        <v>35</v>
      </c>
      <c r="SU14" s="201"/>
      <c r="SV14" s="201"/>
      <c r="SW14" s="201"/>
      <c r="SX14" s="104"/>
      <c r="SY14" s="104"/>
      <c r="SZ14" s="202" t="s">
        <v>25</v>
      </c>
      <c r="TA14" s="202"/>
      <c r="TB14" s="202"/>
      <c r="TC14" s="202"/>
      <c r="TD14" s="129"/>
      <c r="TE14" s="129"/>
      <c r="TF14" s="201" t="s">
        <v>36</v>
      </c>
      <c r="TG14" s="201"/>
      <c r="TH14" s="201"/>
      <c r="TI14" s="201"/>
      <c r="TJ14" s="104"/>
      <c r="TK14" s="104"/>
      <c r="TL14" s="202" t="s">
        <v>26</v>
      </c>
      <c r="TM14" s="202"/>
      <c r="TN14" s="202"/>
      <c r="TO14" s="202"/>
      <c r="TP14" s="129"/>
      <c r="TQ14" s="129"/>
      <c r="TR14" s="201" t="s">
        <v>37</v>
      </c>
      <c r="TS14" s="201"/>
      <c r="TT14" s="201"/>
      <c r="TU14" s="201"/>
      <c r="TV14" s="104"/>
      <c r="TW14" s="104"/>
      <c r="TX14" s="104"/>
      <c r="TY14" s="105"/>
      <c r="TZ14" s="103"/>
      <c r="UA14" s="104"/>
      <c r="UB14" s="104"/>
      <c r="UC14" s="104"/>
      <c r="UD14" s="201" t="s">
        <v>33</v>
      </c>
      <c r="UE14" s="201"/>
      <c r="UF14" s="201"/>
      <c r="UG14" s="201"/>
      <c r="UH14" s="104"/>
      <c r="UI14" s="104"/>
      <c r="UJ14" s="202" t="s">
        <v>23</v>
      </c>
      <c r="UK14" s="202"/>
      <c r="UL14" s="202"/>
      <c r="UM14" s="202"/>
      <c r="UN14" s="129"/>
      <c r="UO14" s="129"/>
      <c r="UP14" s="201" t="s">
        <v>34</v>
      </c>
      <c r="UQ14" s="201"/>
      <c r="UR14" s="201"/>
      <c r="US14" s="201"/>
      <c r="UT14" s="104"/>
      <c r="UU14" s="104"/>
      <c r="UV14" s="202" t="s">
        <v>24</v>
      </c>
      <c r="UW14" s="202"/>
      <c r="UX14" s="202"/>
      <c r="UY14" s="202"/>
      <c r="UZ14" s="129"/>
      <c r="VA14" s="129"/>
      <c r="VB14" s="201" t="s">
        <v>35</v>
      </c>
      <c r="VC14" s="201"/>
      <c r="VD14" s="201"/>
      <c r="VE14" s="201"/>
      <c r="VF14" s="104"/>
      <c r="VG14" s="104"/>
      <c r="VH14" s="202" t="s">
        <v>25</v>
      </c>
      <c r="VI14" s="202"/>
      <c r="VJ14" s="202"/>
      <c r="VK14" s="202"/>
      <c r="VL14" s="129"/>
      <c r="VM14" s="129"/>
      <c r="VN14" s="201" t="s">
        <v>36</v>
      </c>
      <c r="VO14" s="201"/>
      <c r="VP14" s="201"/>
      <c r="VQ14" s="201"/>
      <c r="VR14" s="104"/>
      <c r="VS14" s="104"/>
      <c r="VT14" s="202" t="s">
        <v>26</v>
      </c>
      <c r="VU14" s="202"/>
      <c r="VV14" s="202"/>
      <c r="VW14" s="202"/>
      <c r="VX14" s="129"/>
      <c r="VY14" s="129"/>
      <c r="VZ14" s="201" t="s">
        <v>37</v>
      </c>
      <c r="WA14" s="201"/>
      <c r="WB14" s="201"/>
      <c r="WC14" s="201"/>
      <c r="WD14" s="104"/>
      <c r="WE14" s="104"/>
      <c r="WF14" s="104"/>
      <c r="WG14" s="105"/>
      <c r="WH14" s="103"/>
      <c r="WI14" s="104"/>
      <c r="WJ14" s="104"/>
      <c r="WK14" s="104"/>
      <c r="WL14" s="201" t="s">
        <v>33</v>
      </c>
      <c r="WM14" s="201"/>
      <c r="WN14" s="201"/>
      <c r="WO14" s="201"/>
      <c r="WP14" s="104"/>
      <c r="WQ14" s="104"/>
      <c r="WR14" s="202" t="s">
        <v>23</v>
      </c>
      <c r="WS14" s="202"/>
      <c r="WT14" s="202"/>
      <c r="WU14" s="202"/>
      <c r="WV14" s="129"/>
      <c r="WW14" s="129"/>
      <c r="WX14" s="201" t="s">
        <v>34</v>
      </c>
      <c r="WY14" s="201"/>
      <c r="WZ14" s="201"/>
      <c r="XA14" s="201"/>
      <c r="XB14" s="104"/>
      <c r="XC14" s="104"/>
      <c r="XD14" s="202" t="s">
        <v>24</v>
      </c>
      <c r="XE14" s="202"/>
      <c r="XF14" s="202"/>
      <c r="XG14" s="202"/>
      <c r="XH14" s="129"/>
      <c r="XI14" s="129"/>
      <c r="XJ14" s="201" t="s">
        <v>35</v>
      </c>
      <c r="XK14" s="201"/>
      <c r="XL14" s="201"/>
      <c r="XM14" s="201"/>
      <c r="XN14" s="104"/>
      <c r="XO14" s="104"/>
      <c r="XP14" s="202" t="s">
        <v>25</v>
      </c>
      <c r="XQ14" s="202"/>
      <c r="XR14" s="202"/>
      <c r="XS14" s="202"/>
      <c r="XT14" s="129"/>
      <c r="XU14" s="129"/>
      <c r="XV14" s="201" t="s">
        <v>36</v>
      </c>
      <c r="XW14" s="201"/>
      <c r="XX14" s="201"/>
      <c r="XY14" s="201"/>
      <c r="XZ14" s="104"/>
      <c r="YA14" s="104"/>
      <c r="YB14" s="202" t="s">
        <v>26</v>
      </c>
      <c r="YC14" s="202"/>
      <c r="YD14" s="202"/>
      <c r="YE14" s="202"/>
      <c r="YF14" s="129"/>
      <c r="YG14" s="129"/>
      <c r="YH14" s="201" t="s">
        <v>37</v>
      </c>
      <c r="YI14" s="201"/>
      <c r="YJ14" s="201"/>
      <c r="YK14" s="201"/>
      <c r="YL14" s="104"/>
      <c r="YM14" s="104"/>
      <c r="YN14" s="104"/>
      <c r="YO14" s="105"/>
      <c r="YP14" s="103"/>
      <c r="YQ14" s="104"/>
      <c r="YR14" s="104"/>
      <c r="YS14" s="104"/>
      <c r="YT14" s="201" t="s">
        <v>33</v>
      </c>
      <c r="YU14" s="201"/>
      <c r="YV14" s="201"/>
      <c r="YW14" s="201"/>
      <c r="YX14" s="104"/>
      <c r="YY14" s="104"/>
      <c r="YZ14" s="202" t="s">
        <v>23</v>
      </c>
      <c r="ZA14" s="202"/>
      <c r="ZB14" s="202"/>
      <c r="ZC14" s="202"/>
      <c r="ZD14" s="129"/>
      <c r="ZE14" s="129"/>
      <c r="ZF14" s="201" t="s">
        <v>34</v>
      </c>
      <c r="ZG14" s="201"/>
      <c r="ZH14" s="201"/>
      <c r="ZI14" s="201"/>
      <c r="ZJ14" s="104"/>
      <c r="ZK14" s="104"/>
      <c r="ZL14" s="202" t="s">
        <v>24</v>
      </c>
      <c r="ZM14" s="202"/>
      <c r="ZN14" s="202"/>
      <c r="ZO14" s="202"/>
      <c r="ZP14" s="129"/>
      <c r="ZQ14" s="129"/>
      <c r="ZR14" s="201" t="s">
        <v>35</v>
      </c>
      <c r="ZS14" s="201"/>
      <c r="ZT14" s="201"/>
      <c r="ZU14" s="201"/>
      <c r="ZV14" s="104"/>
      <c r="ZW14" s="104"/>
      <c r="ZX14" s="202" t="s">
        <v>25</v>
      </c>
      <c r="ZY14" s="202"/>
      <c r="ZZ14" s="202"/>
      <c r="AAA14" s="202"/>
      <c r="AAB14" s="129"/>
      <c r="AAC14" s="129"/>
      <c r="AAD14" s="201" t="s">
        <v>36</v>
      </c>
      <c r="AAE14" s="201"/>
      <c r="AAF14" s="201"/>
      <c r="AAG14" s="201"/>
      <c r="AAH14" s="104"/>
      <c r="AAI14" s="104"/>
      <c r="AAJ14" s="202" t="s">
        <v>26</v>
      </c>
      <c r="AAK14" s="202"/>
      <c r="AAL14" s="202"/>
      <c r="AAM14" s="202"/>
      <c r="AAN14" s="129"/>
      <c r="AAO14" s="129"/>
      <c r="AAP14" s="201" t="s">
        <v>37</v>
      </c>
      <c r="AAQ14" s="201"/>
      <c r="AAR14" s="201"/>
      <c r="AAS14" s="201"/>
      <c r="AAT14" s="104"/>
      <c r="AAU14" s="104"/>
      <c r="AAV14" s="104"/>
      <c r="AAW14" s="105"/>
      <c r="AAX14" s="103"/>
      <c r="AAY14" s="104"/>
      <c r="AAZ14" s="104"/>
      <c r="ABA14" s="104"/>
      <c r="ABB14" s="201" t="s">
        <v>33</v>
      </c>
      <c r="ABC14" s="201"/>
      <c r="ABD14" s="201"/>
      <c r="ABE14" s="201"/>
      <c r="ABF14" s="104"/>
      <c r="ABG14" s="104"/>
      <c r="ABH14" s="202" t="s">
        <v>23</v>
      </c>
      <c r="ABI14" s="202"/>
      <c r="ABJ14" s="202"/>
      <c r="ABK14" s="202"/>
      <c r="ABL14" s="129"/>
      <c r="ABM14" s="129"/>
      <c r="ABN14" s="201" t="s">
        <v>34</v>
      </c>
      <c r="ABO14" s="201"/>
      <c r="ABP14" s="201"/>
      <c r="ABQ14" s="201"/>
      <c r="ABR14" s="104"/>
      <c r="ABS14" s="104"/>
      <c r="ABT14" s="202" t="s">
        <v>24</v>
      </c>
      <c r="ABU14" s="202"/>
      <c r="ABV14" s="202"/>
      <c r="ABW14" s="202"/>
      <c r="ABX14" s="129"/>
      <c r="ABY14" s="129"/>
      <c r="ABZ14" s="201" t="s">
        <v>35</v>
      </c>
      <c r="ACA14" s="201"/>
      <c r="ACB14" s="201"/>
      <c r="ACC14" s="201"/>
      <c r="ACD14" s="104"/>
      <c r="ACE14" s="104"/>
      <c r="ACF14" s="202" t="s">
        <v>25</v>
      </c>
      <c r="ACG14" s="202"/>
      <c r="ACH14" s="202"/>
      <c r="ACI14" s="202"/>
      <c r="ACJ14" s="129"/>
      <c r="ACK14" s="129"/>
      <c r="ACL14" s="201" t="s">
        <v>36</v>
      </c>
      <c r="ACM14" s="201"/>
      <c r="ACN14" s="201"/>
      <c r="ACO14" s="201"/>
      <c r="ACP14" s="104"/>
      <c r="ACQ14" s="104"/>
      <c r="ACR14" s="202" t="s">
        <v>26</v>
      </c>
      <c r="ACS14" s="202"/>
      <c r="ACT14" s="202"/>
      <c r="ACU14" s="202"/>
      <c r="ACV14" s="129"/>
      <c r="ACW14" s="129"/>
      <c r="ACX14" s="201" t="s">
        <v>37</v>
      </c>
      <c r="ACY14" s="201"/>
      <c r="ACZ14" s="201"/>
      <c r="ADA14" s="201"/>
      <c r="ADB14" s="104"/>
      <c r="ADC14" s="104"/>
      <c r="ADD14" s="104"/>
      <c r="ADE14" s="105"/>
      <c r="ADF14" s="103"/>
      <c r="ADG14" s="104"/>
      <c r="ADH14" s="104"/>
      <c r="ADI14" s="104"/>
      <c r="ADJ14" s="201" t="s">
        <v>33</v>
      </c>
      <c r="ADK14" s="201"/>
      <c r="ADL14" s="201"/>
      <c r="ADM14" s="201"/>
      <c r="ADN14" s="104"/>
      <c r="ADO14" s="104"/>
      <c r="ADP14" s="202" t="s">
        <v>23</v>
      </c>
      <c r="ADQ14" s="202"/>
      <c r="ADR14" s="202"/>
      <c r="ADS14" s="202"/>
      <c r="ADT14" s="129"/>
      <c r="ADU14" s="129"/>
      <c r="ADV14" s="201" t="s">
        <v>34</v>
      </c>
      <c r="ADW14" s="201"/>
      <c r="ADX14" s="201"/>
      <c r="ADY14" s="201"/>
      <c r="ADZ14" s="104"/>
      <c r="AEA14" s="104"/>
      <c r="AEB14" s="202" t="s">
        <v>24</v>
      </c>
      <c r="AEC14" s="202"/>
      <c r="AED14" s="202"/>
      <c r="AEE14" s="202"/>
      <c r="AEF14" s="129"/>
      <c r="AEG14" s="129"/>
      <c r="AEH14" s="201" t="s">
        <v>35</v>
      </c>
      <c r="AEI14" s="201"/>
      <c r="AEJ14" s="201"/>
      <c r="AEK14" s="201"/>
      <c r="AEL14" s="104"/>
      <c r="AEM14" s="104"/>
      <c r="AEN14" s="202" t="s">
        <v>25</v>
      </c>
      <c r="AEO14" s="202"/>
      <c r="AEP14" s="202"/>
      <c r="AEQ14" s="202"/>
      <c r="AER14" s="129"/>
      <c r="AES14" s="129"/>
      <c r="AET14" s="201" t="s">
        <v>36</v>
      </c>
      <c r="AEU14" s="201"/>
      <c r="AEV14" s="201"/>
      <c r="AEW14" s="201"/>
      <c r="AEX14" s="104"/>
      <c r="AEY14" s="104"/>
      <c r="AEZ14" s="202" t="s">
        <v>26</v>
      </c>
      <c r="AFA14" s="202"/>
      <c r="AFB14" s="202"/>
      <c r="AFC14" s="202"/>
      <c r="AFD14" s="129"/>
      <c r="AFE14" s="129"/>
      <c r="AFF14" s="201" t="s">
        <v>37</v>
      </c>
      <c r="AFG14" s="201"/>
      <c r="AFH14" s="201"/>
      <c r="AFI14" s="201"/>
      <c r="AFJ14" s="104"/>
      <c r="AFK14" s="104"/>
      <c r="AFL14" s="104"/>
      <c r="AFM14" s="105"/>
      <c r="AFN14" s="103"/>
      <c r="AFO14" s="104"/>
      <c r="AFP14" s="104"/>
      <c r="AFQ14" s="104"/>
      <c r="AFR14" s="201" t="s">
        <v>33</v>
      </c>
      <c r="AFS14" s="201"/>
      <c r="AFT14" s="201"/>
      <c r="AFU14" s="201"/>
      <c r="AFV14" s="104"/>
      <c r="AFW14" s="104"/>
      <c r="AFX14" s="202" t="s">
        <v>23</v>
      </c>
      <c r="AFY14" s="202"/>
      <c r="AFZ14" s="202"/>
      <c r="AGA14" s="202"/>
      <c r="AGB14" s="129"/>
      <c r="AGC14" s="129"/>
      <c r="AGD14" s="201" t="s">
        <v>34</v>
      </c>
      <c r="AGE14" s="201"/>
      <c r="AGF14" s="201"/>
      <c r="AGG14" s="201"/>
      <c r="AGH14" s="104"/>
      <c r="AGI14" s="104"/>
      <c r="AGJ14" s="202" t="s">
        <v>24</v>
      </c>
      <c r="AGK14" s="202"/>
      <c r="AGL14" s="202"/>
      <c r="AGM14" s="202"/>
      <c r="AGN14" s="129"/>
      <c r="AGO14" s="129"/>
      <c r="AGP14" s="201" t="s">
        <v>35</v>
      </c>
      <c r="AGQ14" s="201"/>
      <c r="AGR14" s="201"/>
      <c r="AGS14" s="201"/>
      <c r="AGT14" s="104"/>
      <c r="AGU14" s="104"/>
      <c r="AGV14" s="202" t="s">
        <v>25</v>
      </c>
      <c r="AGW14" s="202"/>
      <c r="AGX14" s="202"/>
      <c r="AGY14" s="202"/>
      <c r="AGZ14" s="129"/>
      <c r="AHA14" s="129"/>
      <c r="AHB14" s="201" t="s">
        <v>36</v>
      </c>
      <c r="AHC14" s="201"/>
      <c r="AHD14" s="201"/>
      <c r="AHE14" s="201"/>
      <c r="AHF14" s="104"/>
      <c r="AHG14" s="104"/>
      <c r="AHH14" s="202" t="s">
        <v>26</v>
      </c>
      <c r="AHI14" s="202"/>
      <c r="AHJ14" s="202"/>
      <c r="AHK14" s="202"/>
      <c r="AHL14" s="129"/>
      <c r="AHM14" s="129"/>
      <c r="AHN14" s="201" t="s">
        <v>37</v>
      </c>
      <c r="AHO14" s="201"/>
      <c r="AHP14" s="201"/>
      <c r="AHQ14" s="201"/>
      <c r="AHR14" s="104"/>
      <c r="AHS14" s="104"/>
      <c r="AHT14" s="104"/>
      <c r="AHU14" s="105"/>
      <c r="AHV14" s="103"/>
      <c r="AHW14" s="104"/>
      <c r="AHX14" s="104"/>
      <c r="AHY14" s="104"/>
      <c r="AHZ14" s="201" t="s">
        <v>33</v>
      </c>
      <c r="AIA14" s="201"/>
      <c r="AIB14" s="201"/>
      <c r="AIC14" s="201"/>
      <c r="AID14" s="104"/>
      <c r="AIE14" s="104"/>
      <c r="AIF14" s="202" t="s">
        <v>23</v>
      </c>
      <c r="AIG14" s="202"/>
      <c r="AIH14" s="202"/>
      <c r="AII14" s="202"/>
      <c r="AIJ14" s="129"/>
      <c r="AIK14" s="129"/>
      <c r="AIL14" s="201" t="s">
        <v>34</v>
      </c>
      <c r="AIM14" s="201"/>
      <c r="AIN14" s="201"/>
      <c r="AIO14" s="201"/>
      <c r="AIP14" s="104"/>
      <c r="AIQ14" s="104"/>
      <c r="AIR14" s="202" t="s">
        <v>24</v>
      </c>
      <c r="AIS14" s="202"/>
      <c r="AIT14" s="202"/>
      <c r="AIU14" s="202"/>
      <c r="AIV14" s="129"/>
      <c r="AIW14" s="129"/>
      <c r="AIX14" s="201" t="s">
        <v>35</v>
      </c>
      <c r="AIY14" s="201"/>
      <c r="AIZ14" s="201"/>
      <c r="AJA14" s="201"/>
      <c r="AJB14" s="104"/>
      <c r="AJC14" s="104"/>
      <c r="AJD14" s="202" t="s">
        <v>25</v>
      </c>
      <c r="AJE14" s="202"/>
      <c r="AJF14" s="202"/>
      <c r="AJG14" s="202"/>
      <c r="AJH14" s="129"/>
      <c r="AJI14" s="129"/>
      <c r="AJJ14" s="201" t="s">
        <v>36</v>
      </c>
      <c r="AJK14" s="201"/>
      <c r="AJL14" s="201"/>
      <c r="AJM14" s="201"/>
      <c r="AJN14" s="104"/>
      <c r="AJO14" s="104"/>
      <c r="AJP14" s="202" t="s">
        <v>26</v>
      </c>
      <c r="AJQ14" s="202"/>
      <c r="AJR14" s="202"/>
      <c r="AJS14" s="202"/>
      <c r="AJT14" s="129"/>
      <c r="AJU14" s="129"/>
      <c r="AJV14" s="201" t="s">
        <v>37</v>
      </c>
      <c r="AJW14" s="201"/>
      <c r="AJX14" s="201"/>
      <c r="AJY14" s="201"/>
      <c r="AJZ14" s="104"/>
      <c r="AKA14" s="104"/>
      <c r="AKB14" s="104"/>
      <c r="AKC14" s="105"/>
      <c r="AKD14" s="103"/>
      <c r="AKE14" s="104"/>
      <c r="AKF14" s="104"/>
      <c r="AKG14" s="104"/>
      <c r="AKH14" s="201" t="s">
        <v>33</v>
      </c>
      <c r="AKI14" s="201"/>
      <c r="AKJ14" s="201"/>
      <c r="AKK14" s="201"/>
      <c r="AKL14" s="104"/>
      <c r="AKM14" s="104"/>
      <c r="AKN14" s="202" t="s">
        <v>23</v>
      </c>
      <c r="AKO14" s="202"/>
      <c r="AKP14" s="202"/>
      <c r="AKQ14" s="202"/>
      <c r="AKR14" s="129"/>
      <c r="AKS14" s="129"/>
      <c r="AKT14" s="201" t="s">
        <v>34</v>
      </c>
      <c r="AKU14" s="201"/>
      <c r="AKV14" s="201"/>
      <c r="AKW14" s="201"/>
      <c r="AKX14" s="104"/>
      <c r="AKY14" s="104"/>
      <c r="AKZ14" s="202" t="s">
        <v>24</v>
      </c>
      <c r="ALA14" s="202"/>
      <c r="ALB14" s="202"/>
      <c r="ALC14" s="202"/>
      <c r="ALD14" s="129"/>
      <c r="ALE14" s="129"/>
      <c r="ALF14" s="201" t="s">
        <v>35</v>
      </c>
      <c r="ALG14" s="201"/>
      <c r="ALH14" s="201"/>
      <c r="ALI14" s="201"/>
      <c r="ALJ14" s="104"/>
      <c r="ALK14" s="104"/>
      <c r="ALL14" s="202" t="s">
        <v>25</v>
      </c>
      <c r="ALM14" s="202"/>
      <c r="ALN14" s="202"/>
      <c r="ALO14" s="202"/>
      <c r="ALP14" s="129"/>
      <c r="ALQ14" s="129"/>
      <c r="ALR14" s="201" t="s">
        <v>36</v>
      </c>
      <c r="ALS14" s="201"/>
      <c r="ALT14" s="201"/>
      <c r="ALU14" s="201"/>
      <c r="ALV14" s="104"/>
      <c r="ALW14" s="104"/>
      <c r="ALX14" s="202" t="s">
        <v>26</v>
      </c>
      <c r="ALY14" s="202"/>
      <c r="ALZ14" s="202"/>
      <c r="AMA14" s="202"/>
      <c r="AMB14" s="129"/>
      <c r="AMC14" s="129"/>
      <c r="AMD14" s="201" t="s">
        <v>37</v>
      </c>
      <c r="AME14" s="201"/>
      <c r="AMF14" s="201"/>
      <c r="AMG14" s="201"/>
      <c r="AMH14" s="104"/>
      <c r="AMI14" s="104"/>
      <c r="AMJ14" s="104"/>
      <c r="AMK14" s="105"/>
      <c r="AML14" s="103"/>
      <c r="AMM14" s="104"/>
      <c r="AMN14" s="104"/>
      <c r="AMO14" s="104"/>
      <c r="AMP14" s="201" t="s">
        <v>33</v>
      </c>
      <c r="AMQ14" s="201"/>
      <c r="AMR14" s="201"/>
      <c r="AMS14" s="201"/>
      <c r="AMT14" s="104"/>
      <c r="AMU14" s="104"/>
      <c r="AMV14" s="202" t="s">
        <v>23</v>
      </c>
      <c r="AMW14" s="202"/>
      <c r="AMX14" s="202"/>
      <c r="AMY14" s="202"/>
      <c r="AMZ14" s="129"/>
      <c r="ANA14" s="129"/>
      <c r="ANB14" s="201" t="s">
        <v>34</v>
      </c>
      <c r="ANC14" s="201"/>
      <c r="AND14" s="201"/>
      <c r="ANE14" s="201"/>
      <c r="ANF14" s="104"/>
      <c r="ANG14" s="104"/>
      <c r="ANH14" s="202" t="s">
        <v>24</v>
      </c>
      <c r="ANI14" s="202"/>
      <c r="ANJ14" s="202"/>
      <c r="ANK14" s="202"/>
      <c r="ANL14" s="129"/>
      <c r="ANM14" s="129"/>
      <c r="ANN14" s="201" t="s">
        <v>35</v>
      </c>
      <c r="ANO14" s="201"/>
      <c r="ANP14" s="201"/>
      <c r="ANQ14" s="201"/>
      <c r="ANR14" s="104"/>
      <c r="ANS14" s="104"/>
      <c r="ANT14" s="202" t="s">
        <v>25</v>
      </c>
      <c r="ANU14" s="202"/>
      <c r="ANV14" s="202"/>
      <c r="ANW14" s="202"/>
      <c r="ANX14" s="129"/>
      <c r="ANY14" s="129"/>
      <c r="ANZ14" s="201" t="s">
        <v>36</v>
      </c>
      <c r="AOA14" s="201"/>
      <c r="AOB14" s="201"/>
      <c r="AOC14" s="201"/>
      <c r="AOD14" s="104"/>
      <c r="AOE14" s="104"/>
      <c r="AOF14" s="202" t="s">
        <v>26</v>
      </c>
      <c r="AOG14" s="202"/>
      <c r="AOH14" s="202"/>
      <c r="AOI14" s="202"/>
      <c r="AOJ14" s="129"/>
      <c r="AOK14" s="129"/>
      <c r="AOL14" s="201" t="s">
        <v>37</v>
      </c>
      <c r="AOM14" s="201"/>
      <c r="AON14" s="201"/>
      <c r="AOO14" s="201"/>
      <c r="AOP14" s="104"/>
      <c r="AOQ14" s="104"/>
      <c r="AOR14" s="104"/>
      <c r="AOS14" s="105"/>
      <c r="AOT14" s="103"/>
      <c r="AOU14" s="104"/>
      <c r="AOV14" s="104"/>
      <c r="AOW14" s="104"/>
      <c r="AOX14" s="201" t="s">
        <v>33</v>
      </c>
      <c r="AOY14" s="201"/>
      <c r="AOZ14" s="201"/>
      <c r="APA14" s="201"/>
      <c r="APB14" s="104"/>
      <c r="APC14" s="104"/>
      <c r="APD14" s="202" t="s">
        <v>23</v>
      </c>
      <c r="APE14" s="202"/>
      <c r="APF14" s="202"/>
      <c r="APG14" s="202"/>
      <c r="APH14" s="129"/>
      <c r="API14" s="129"/>
      <c r="APJ14" s="201" t="s">
        <v>34</v>
      </c>
      <c r="APK14" s="201"/>
      <c r="APL14" s="201"/>
      <c r="APM14" s="201"/>
      <c r="APN14" s="104"/>
      <c r="APO14" s="104"/>
      <c r="APP14" s="202" t="s">
        <v>24</v>
      </c>
      <c r="APQ14" s="202"/>
      <c r="APR14" s="202"/>
      <c r="APS14" s="202"/>
      <c r="APT14" s="129"/>
      <c r="APU14" s="129"/>
      <c r="APV14" s="201" t="s">
        <v>35</v>
      </c>
      <c r="APW14" s="201"/>
      <c r="APX14" s="201"/>
      <c r="APY14" s="201"/>
      <c r="APZ14" s="104"/>
      <c r="AQA14" s="104"/>
      <c r="AQB14" s="202" t="s">
        <v>25</v>
      </c>
      <c r="AQC14" s="202"/>
      <c r="AQD14" s="202"/>
      <c r="AQE14" s="202"/>
      <c r="AQF14" s="129"/>
      <c r="AQG14" s="129"/>
      <c r="AQH14" s="201" t="s">
        <v>36</v>
      </c>
      <c r="AQI14" s="201"/>
      <c r="AQJ14" s="201"/>
      <c r="AQK14" s="201"/>
      <c r="AQL14" s="104"/>
      <c r="AQM14" s="104"/>
      <c r="AQN14" s="202" t="s">
        <v>26</v>
      </c>
      <c r="AQO14" s="202"/>
      <c r="AQP14" s="202"/>
      <c r="AQQ14" s="202"/>
      <c r="AQR14" s="129"/>
      <c r="AQS14" s="129"/>
      <c r="AQT14" s="201" t="s">
        <v>37</v>
      </c>
      <c r="AQU14" s="201"/>
      <c r="AQV14" s="201"/>
      <c r="AQW14" s="201"/>
      <c r="AQX14" s="104"/>
      <c r="AQY14" s="104"/>
      <c r="AQZ14" s="104"/>
      <c r="ARA14" s="105"/>
      <c r="ARB14" s="103"/>
      <c r="ARC14" s="104"/>
      <c r="ARD14" s="104"/>
      <c r="ARE14" s="104"/>
      <c r="ARF14" s="201" t="s">
        <v>33</v>
      </c>
      <c r="ARG14" s="201"/>
      <c r="ARH14" s="201"/>
      <c r="ARI14" s="201"/>
      <c r="ARJ14" s="104"/>
      <c r="ARK14" s="104"/>
      <c r="ARL14" s="202" t="s">
        <v>23</v>
      </c>
      <c r="ARM14" s="202"/>
      <c r="ARN14" s="202"/>
      <c r="ARO14" s="202"/>
      <c r="ARP14" s="129"/>
      <c r="ARQ14" s="129"/>
      <c r="ARR14" s="201" t="s">
        <v>34</v>
      </c>
      <c r="ARS14" s="201"/>
      <c r="ART14" s="201"/>
      <c r="ARU14" s="201"/>
      <c r="ARV14" s="104"/>
      <c r="ARW14" s="104"/>
      <c r="ARX14" s="202" t="s">
        <v>24</v>
      </c>
      <c r="ARY14" s="202"/>
      <c r="ARZ14" s="202"/>
      <c r="ASA14" s="202"/>
      <c r="ASB14" s="129"/>
      <c r="ASC14" s="129"/>
      <c r="ASD14" s="201" t="s">
        <v>35</v>
      </c>
      <c r="ASE14" s="201"/>
      <c r="ASF14" s="201"/>
      <c r="ASG14" s="201"/>
      <c r="ASH14" s="104"/>
      <c r="ASI14" s="104"/>
      <c r="ASJ14" s="202" t="s">
        <v>25</v>
      </c>
      <c r="ASK14" s="202"/>
      <c r="ASL14" s="202"/>
      <c r="ASM14" s="202"/>
      <c r="ASN14" s="129"/>
      <c r="ASO14" s="129"/>
      <c r="ASP14" s="201" t="s">
        <v>36</v>
      </c>
      <c r="ASQ14" s="201"/>
      <c r="ASR14" s="201"/>
      <c r="ASS14" s="201"/>
      <c r="AST14" s="104"/>
      <c r="ASU14" s="104"/>
      <c r="ASV14" s="202" t="s">
        <v>26</v>
      </c>
      <c r="ASW14" s="202"/>
      <c r="ASX14" s="202"/>
      <c r="ASY14" s="202"/>
      <c r="ASZ14" s="129"/>
      <c r="ATA14" s="129"/>
      <c r="ATB14" s="201" t="s">
        <v>37</v>
      </c>
      <c r="ATC14" s="201"/>
      <c r="ATD14" s="201"/>
      <c r="ATE14" s="201"/>
      <c r="ATF14" s="104"/>
      <c r="ATG14" s="104"/>
      <c r="ATH14" s="104"/>
      <c r="ATI14" s="105"/>
      <c r="ATJ14" s="103"/>
      <c r="ATK14" s="104"/>
      <c r="ATL14" s="104"/>
      <c r="ATM14" s="104"/>
      <c r="ATN14" s="201" t="s">
        <v>33</v>
      </c>
      <c r="ATO14" s="201"/>
      <c r="ATP14" s="201"/>
      <c r="ATQ14" s="201"/>
      <c r="ATR14" s="104"/>
      <c r="ATS14" s="104"/>
      <c r="ATT14" s="202" t="s">
        <v>23</v>
      </c>
      <c r="ATU14" s="202"/>
      <c r="ATV14" s="202"/>
      <c r="ATW14" s="202"/>
      <c r="ATX14" s="129"/>
      <c r="ATY14" s="129"/>
      <c r="ATZ14" s="201" t="s">
        <v>34</v>
      </c>
      <c r="AUA14" s="201"/>
      <c r="AUB14" s="201"/>
      <c r="AUC14" s="201"/>
      <c r="AUD14" s="104"/>
      <c r="AUE14" s="104"/>
      <c r="AUF14" s="202" t="s">
        <v>24</v>
      </c>
      <c r="AUG14" s="202"/>
      <c r="AUH14" s="202"/>
      <c r="AUI14" s="202"/>
      <c r="AUJ14" s="129"/>
      <c r="AUK14" s="129"/>
      <c r="AUL14" s="201" t="s">
        <v>35</v>
      </c>
      <c r="AUM14" s="201"/>
      <c r="AUN14" s="201"/>
      <c r="AUO14" s="201"/>
      <c r="AUP14" s="104"/>
      <c r="AUQ14" s="104"/>
      <c r="AUR14" s="202" t="s">
        <v>25</v>
      </c>
      <c r="AUS14" s="202"/>
      <c r="AUT14" s="202"/>
      <c r="AUU14" s="202"/>
      <c r="AUV14" s="129"/>
      <c r="AUW14" s="129"/>
      <c r="AUX14" s="201" t="s">
        <v>36</v>
      </c>
      <c r="AUY14" s="201"/>
      <c r="AUZ14" s="201"/>
      <c r="AVA14" s="201"/>
      <c r="AVB14" s="104"/>
      <c r="AVC14" s="104"/>
      <c r="AVD14" s="202" t="s">
        <v>26</v>
      </c>
      <c r="AVE14" s="202"/>
      <c r="AVF14" s="202"/>
      <c r="AVG14" s="202"/>
      <c r="AVH14" s="129"/>
      <c r="AVI14" s="129"/>
      <c r="AVJ14" s="201" t="s">
        <v>37</v>
      </c>
      <c r="AVK14" s="201"/>
      <c r="AVL14" s="201"/>
      <c r="AVM14" s="201"/>
      <c r="AVN14" s="104"/>
      <c r="AVO14" s="104"/>
      <c r="AVP14" s="104"/>
      <c r="AVQ14" s="105"/>
      <c r="AVR14" s="103"/>
      <c r="AVS14" s="104"/>
      <c r="AVT14" s="104"/>
      <c r="AVU14" s="104"/>
      <c r="AVV14" s="201" t="s">
        <v>33</v>
      </c>
      <c r="AVW14" s="201"/>
      <c r="AVX14" s="201"/>
      <c r="AVY14" s="201"/>
      <c r="AVZ14" s="104"/>
      <c r="AWA14" s="104"/>
      <c r="AWB14" s="202" t="s">
        <v>23</v>
      </c>
      <c r="AWC14" s="202"/>
      <c r="AWD14" s="202"/>
      <c r="AWE14" s="202"/>
      <c r="AWF14" s="129"/>
      <c r="AWG14" s="129"/>
      <c r="AWH14" s="201" t="s">
        <v>34</v>
      </c>
      <c r="AWI14" s="201"/>
      <c r="AWJ14" s="201"/>
      <c r="AWK14" s="201"/>
      <c r="AWL14" s="104"/>
      <c r="AWM14" s="104"/>
      <c r="AWN14" s="202" t="s">
        <v>24</v>
      </c>
      <c r="AWO14" s="202"/>
      <c r="AWP14" s="202"/>
      <c r="AWQ14" s="202"/>
      <c r="AWR14" s="129"/>
      <c r="AWS14" s="129"/>
      <c r="AWT14" s="201" t="s">
        <v>35</v>
      </c>
      <c r="AWU14" s="201"/>
      <c r="AWV14" s="201"/>
      <c r="AWW14" s="201"/>
      <c r="AWX14" s="104"/>
      <c r="AWY14" s="104"/>
      <c r="AWZ14" s="202" t="s">
        <v>25</v>
      </c>
      <c r="AXA14" s="202"/>
      <c r="AXB14" s="202"/>
      <c r="AXC14" s="202"/>
      <c r="AXD14" s="129"/>
      <c r="AXE14" s="129"/>
      <c r="AXF14" s="201" t="s">
        <v>36</v>
      </c>
      <c r="AXG14" s="201"/>
      <c r="AXH14" s="201"/>
      <c r="AXI14" s="201"/>
      <c r="AXJ14" s="104"/>
      <c r="AXK14" s="104"/>
      <c r="AXL14" s="202" t="s">
        <v>26</v>
      </c>
      <c r="AXM14" s="202"/>
      <c r="AXN14" s="202"/>
      <c r="AXO14" s="202"/>
      <c r="AXP14" s="129"/>
      <c r="AXQ14" s="129"/>
      <c r="AXR14" s="201" t="s">
        <v>37</v>
      </c>
      <c r="AXS14" s="201"/>
      <c r="AXT14" s="201"/>
      <c r="AXU14" s="201"/>
      <c r="AXV14" s="104"/>
      <c r="AXW14" s="104"/>
      <c r="AXX14" s="104"/>
      <c r="AXY14" s="105"/>
      <c r="AXZ14" s="103"/>
      <c r="AYA14" s="104"/>
      <c r="AYB14" s="104"/>
      <c r="AYC14" s="104"/>
      <c r="AYD14" s="201" t="s">
        <v>33</v>
      </c>
      <c r="AYE14" s="201"/>
      <c r="AYF14" s="201"/>
      <c r="AYG14" s="201"/>
      <c r="AYH14" s="104"/>
      <c r="AYI14" s="104"/>
      <c r="AYJ14" s="202" t="s">
        <v>23</v>
      </c>
      <c r="AYK14" s="202"/>
      <c r="AYL14" s="202"/>
      <c r="AYM14" s="202"/>
      <c r="AYN14" s="129"/>
      <c r="AYO14" s="129"/>
      <c r="AYP14" s="201" t="s">
        <v>34</v>
      </c>
      <c r="AYQ14" s="201"/>
      <c r="AYR14" s="201"/>
      <c r="AYS14" s="201"/>
      <c r="AYT14" s="104"/>
      <c r="AYU14" s="104"/>
      <c r="AYV14" s="202" t="s">
        <v>24</v>
      </c>
      <c r="AYW14" s="202"/>
      <c r="AYX14" s="202"/>
      <c r="AYY14" s="202"/>
      <c r="AYZ14" s="129"/>
      <c r="AZA14" s="129"/>
      <c r="AZB14" s="201" t="s">
        <v>35</v>
      </c>
      <c r="AZC14" s="201"/>
      <c r="AZD14" s="201"/>
      <c r="AZE14" s="201"/>
      <c r="AZF14" s="104"/>
      <c r="AZG14" s="104"/>
      <c r="AZH14" s="202" t="s">
        <v>25</v>
      </c>
      <c r="AZI14" s="202"/>
      <c r="AZJ14" s="202"/>
      <c r="AZK14" s="202"/>
      <c r="AZL14" s="129"/>
      <c r="AZM14" s="129"/>
      <c r="AZN14" s="201" t="s">
        <v>36</v>
      </c>
      <c r="AZO14" s="201"/>
      <c r="AZP14" s="201"/>
      <c r="AZQ14" s="201"/>
      <c r="AZR14" s="104"/>
      <c r="AZS14" s="104"/>
      <c r="AZT14" s="202" t="s">
        <v>26</v>
      </c>
      <c r="AZU14" s="202"/>
      <c r="AZV14" s="202"/>
      <c r="AZW14" s="202"/>
      <c r="AZX14" s="129"/>
      <c r="AZY14" s="129"/>
      <c r="AZZ14" s="201" t="s">
        <v>37</v>
      </c>
      <c r="BAA14" s="201"/>
      <c r="BAB14" s="201"/>
      <c r="BAC14" s="201"/>
      <c r="BAD14" s="104"/>
      <c r="BAE14" s="104"/>
      <c r="BAF14" s="104"/>
      <c r="BAG14" s="105"/>
      <c r="BAH14" s="103"/>
      <c r="BAI14" s="104"/>
      <c r="BAJ14" s="104"/>
      <c r="BAK14" s="104"/>
      <c r="BAL14" s="201" t="s">
        <v>33</v>
      </c>
      <c r="BAM14" s="201"/>
      <c r="BAN14" s="201"/>
      <c r="BAO14" s="201"/>
      <c r="BAP14" s="104"/>
      <c r="BAQ14" s="104"/>
      <c r="BAR14" s="202" t="s">
        <v>23</v>
      </c>
      <c r="BAS14" s="202"/>
      <c r="BAT14" s="202"/>
      <c r="BAU14" s="202"/>
      <c r="BAV14" s="129"/>
      <c r="BAW14" s="129"/>
      <c r="BAX14" s="201" t="s">
        <v>34</v>
      </c>
      <c r="BAY14" s="201"/>
      <c r="BAZ14" s="201"/>
      <c r="BBA14" s="201"/>
      <c r="BBB14" s="104"/>
      <c r="BBC14" s="104"/>
      <c r="BBD14" s="202" t="s">
        <v>24</v>
      </c>
      <c r="BBE14" s="202"/>
      <c r="BBF14" s="202"/>
      <c r="BBG14" s="202"/>
      <c r="BBH14" s="129"/>
      <c r="BBI14" s="129"/>
      <c r="BBJ14" s="201" t="s">
        <v>35</v>
      </c>
      <c r="BBK14" s="201"/>
      <c r="BBL14" s="201"/>
      <c r="BBM14" s="201"/>
      <c r="BBN14" s="104"/>
      <c r="BBO14" s="104"/>
      <c r="BBP14" s="202" t="s">
        <v>25</v>
      </c>
      <c r="BBQ14" s="202"/>
      <c r="BBR14" s="202"/>
      <c r="BBS14" s="202"/>
      <c r="BBT14" s="129"/>
      <c r="BBU14" s="129"/>
      <c r="BBV14" s="201" t="s">
        <v>36</v>
      </c>
      <c r="BBW14" s="201"/>
      <c r="BBX14" s="201"/>
      <c r="BBY14" s="201"/>
      <c r="BBZ14" s="104"/>
      <c r="BCA14" s="104"/>
      <c r="BCB14" s="202" t="s">
        <v>26</v>
      </c>
      <c r="BCC14" s="202"/>
      <c r="BCD14" s="202"/>
      <c r="BCE14" s="202"/>
      <c r="BCF14" s="129"/>
      <c r="BCG14" s="129"/>
      <c r="BCH14" s="201" t="s">
        <v>37</v>
      </c>
      <c r="BCI14" s="201"/>
      <c r="BCJ14" s="201"/>
      <c r="BCK14" s="201"/>
      <c r="BCL14" s="104"/>
      <c r="BCM14" s="104"/>
      <c r="BCN14" s="104"/>
      <c r="BCO14" s="105"/>
      <c r="BCP14" s="103"/>
      <c r="BCQ14" s="104"/>
      <c r="BCR14" s="104"/>
      <c r="BCS14" s="104"/>
      <c r="BCT14" s="201" t="s">
        <v>33</v>
      </c>
      <c r="BCU14" s="201"/>
      <c r="BCV14" s="201"/>
      <c r="BCW14" s="201"/>
      <c r="BCX14" s="104"/>
      <c r="BCY14" s="104"/>
      <c r="BCZ14" s="202" t="s">
        <v>23</v>
      </c>
      <c r="BDA14" s="202"/>
      <c r="BDB14" s="202"/>
      <c r="BDC14" s="202"/>
      <c r="BDD14" s="129"/>
      <c r="BDE14" s="129"/>
      <c r="BDF14" s="201" t="s">
        <v>34</v>
      </c>
      <c r="BDG14" s="201"/>
      <c r="BDH14" s="201"/>
      <c r="BDI14" s="201"/>
      <c r="BDJ14" s="104"/>
      <c r="BDK14" s="104"/>
      <c r="BDL14" s="202" t="s">
        <v>24</v>
      </c>
      <c r="BDM14" s="202"/>
      <c r="BDN14" s="202"/>
      <c r="BDO14" s="202"/>
      <c r="BDP14" s="129"/>
      <c r="BDQ14" s="129"/>
      <c r="BDR14" s="201" t="s">
        <v>35</v>
      </c>
      <c r="BDS14" s="201"/>
      <c r="BDT14" s="201"/>
      <c r="BDU14" s="201"/>
      <c r="BDV14" s="104"/>
      <c r="BDW14" s="104"/>
      <c r="BDX14" s="202" t="s">
        <v>25</v>
      </c>
      <c r="BDY14" s="202"/>
      <c r="BDZ14" s="202"/>
      <c r="BEA14" s="202"/>
      <c r="BEB14" s="129"/>
      <c r="BEC14" s="129"/>
      <c r="BED14" s="201" t="s">
        <v>36</v>
      </c>
      <c r="BEE14" s="201"/>
      <c r="BEF14" s="201"/>
      <c r="BEG14" s="201"/>
      <c r="BEH14" s="104"/>
      <c r="BEI14" s="104"/>
      <c r="BEJ14" s="202" t="s">
        <v>26</v>
      </c>
      <c r="BEK14" s="202"/>
      <c r="BEL14" s="202"/>
      <c r="BEM14" s="202"/>
      <c r="BEN14" s="129"/>
      <c r="BEO14" s="129"/>
      <c r="BEP14" s="201" t="s">
        <v>37</v>
      </c>
      <c r="BEQ14" s="201"/>
      <c r="BER14" s="201"/>
      <c r="BES14" s="201"/>
      <c r="BET14" s="104"/>
      <c r="BEU14" s="104"/>
      <c r="BEV14" s="104"/>
      <c r="BEW14" s="105"/>
      <c r="BEX14" s="103"/>
      <c r="BEY14" s="104"/>
      <c r="BEZ14" s="104"/>
      <c r="BFA14" s="104"/>
      <c r="BFB14" s="201" t="s">
        <v>33</v>
      </c>
      <c r="BFC14" s="201"/>
      <c r="BFD14" s="201"/>
      <c r="BFE14" s="201"/>
      <c r="BFF14" s="104"/>
      <c r="BFG14" s="104"/>
      <c r="BFH14" s="202" t="s">
        <v>23</v>
      </c>
      <c r="BFI14" s="202"/>
      <c r="BFJ14" s="202"/>
      <c r="BFK14" s="202"/>
      <c r="BFL14" s="129"/>
      <c r="BFM14" s="129"/>
      <c r="BFN14" s="201" t="s">
        <v>34</v>
      </c>
      <c r="BFO14" s="201"/>
      <c r="BFP14" s="201"/>
      <c r="BFQ14" s="201"/>
      <c r="BFR14" s="104"/>
      <c r="BFS14" s="104"/>
      <c r="BFT14" s="202" t="s">
        <v>24</v>
      </c>
      <c r="BFU14" s="202"/>
      <c r="BFV14" s="202"/>
      <c r="BFW14" s="202"/>
      <c r="BFX14" s="129"/>
      <c r="BFY14" s="129"/>
      <c r="BFZ14" s="201" t="s">
        <v>35</v>
      </c>
      <c r="BGA14" s="201"/>
      <c r="BGB14" s="201"/>
      <c r="BGC14" s="201"/>
      <c r="BGD14" s="104"/>
      <c r="BGE14" s="104"/>
      <c r="BGF14" s="202" t="s">
        <v>25</v>
      </c>
      <c r="BGG14" s="202"/>
      <c r="BGH14" s="202"/>
      <c r="BGI14" s="202"/>
      <c r="BGJ14" s="129"/>
      <c r="BGK14" s="129"/>
      <c r="BGL14" s="201" t="s">
        <v>36</v>
      </c>
      <c r="BGM14" s="201"/>
      <c r="BGN14" s="201"/>
      <c r="BGO14" s="201"/>
      <c r="BGP14" s="104"/>
      <c r="BGQ14" s="104"/>
      <c r="BGR14" s="202" t="s">
        <v>26</v>
      </c>
      <c r="BGS14" s="202"/>
      <c r="BGT14" s="202"/>
      <c r="BGU14" s="202"/>
      <c r="BGV14" s="129"/>
      <c r="BGW14" s="129"/>
      <c r="BGX14" s="201" t="s">
        <v>37</v>
      </c>
      <c r="BGY14" s="201"/>
      <c r="BGZ14" s="201"/>
      <c r="BHA14" s="201"/>
      <c r="BHB14" s="104"/>
      <c r="BHC14" s="104"/>
      <c r="BHD14" s="104"/>
      <c r="BHE14" s="105"/>
      <c r="BHF14" s="103"/>
      <c r="BHG14" s="104"/>
      <c r="BHH14" s="104"/>
      <c r="BHI14" s="104"/>
      <c r="BHJ14" s="201" t="s">
        <v>33</v>
      </c>
      <c r="BHK14" s="201"/>
      <c r="BHL14" s="201"/>
      <c r="BHM14" s="201"/>
      <c r="BHN14" s="104"/>
      <c r="BHO14" s="104"/>
      <c r="BHP14" s="202" t="s">
        <v>23</v>
      </c>
      <c r="BHQ14" s="202"/>
      <c r="BHR14" s="202"/>
      <c r="BHS14" s="202"/>
      <c r="BHT14" s="129"/>
      <c r="BHU14" s="129"/>
      <c r="BHV14" s="201" t="s">
        <v>34</v>
      </c>
      <c r="BHW14" s="201"/>
      <c r="BHX14" s="201"/>
      <c r="BHY14" s="201"/>
      <c r="BHZ14" s="104"/>
      <c r="BIA14" s="104"/>
      <c r="BIB14" s="202" t="s">
        <v>24</v>
      </c>
      <c r="BIC14" s="202"/>
      <c r="BID14" s="202"/>
      <c r="BIE14" s="202"/>
      <c r="BIF14" s="129"/>
      <c r="BIG14" s="129"/>
      <c r="BIH14" s="201" t="s">
        <v>35</v>
      </c>
      <c r="BII14" s="201"/>
      <c r="BIJ14" s="201"/>
      <c r="BIK14" s="201"/>
      <c r="BIL14" s="104"/>
      <c r="BIM14" s="104"/>
      <c r="BIN14" s="202" t="s">
        <v>25</v>
      </c>
      <c r="BIO14" s="202"/>
      <c r="BIP14" s="202"/>
      <c r="BIQ14" s="202"/>
      <c r="BIR14" s="129"/>
      <c r="BIS14" s="129"/>
      <c r="BIT14" s="201" t="s">
        <v>36</v>
      </c>
      <c r="BIU14" s="201"/>
      <c r="BIV14" s="201"/>
      <c r="BIW14" s="201"/>
      <c r="BIX14" s="104"/>
      <c r="BIY14" s="104"/>
      <c r="BIZ14" s="202" t="s">
        <v>26</v>
      </c>
      <c r="BJA14" s="202"/>
      <c r="BJB14" s="202"/>
      <c r="BJC14" s="202"/>
      <c r="BJD14" s="129"/>
      <c r="BJE14" s="129"/>
      <c r="BJF14" s="201" t="s">
        <v>37</v>
      </c>
      <c r="BJG14" s="201"/>
      <c r="BJH14" s="201"/>
      <c r="BJI14" s="201"/>
      <c r="BJJ14" s="104"/>
      <c r="BJK14" s="104"/>
      <c r="BJL14" s="104"/>
      <c r="BJM14" s="105"/>
      <c r="BJN14" s="103"/>
      <c r="BJO14" s="104"/>
      <c r="BJP14" s="104"/>
      <c r="BJQ14" s="104"/>
      <c r="BJR14" s="201" t="s">
        <v>33</v>
      </c>
      <c r="BJS14" s="201"/>
      <c r="BJT14" s="201"/>
      <c r="BJU14" s="201"/>
      <c r="BJV14" s="104"/>
      <c r="BJW14" s="104"/>
      <c r="BJX14" s="202" t="s">
        <v>23</v>
      </c>
      <c r="BJY14" s="202"/>
      <c r="BJZ14" s="202"/>
      <c r="BKA14" s="202"/>
      <c r="BKB14" s="129"/>
      <c r="BKC14" s="129"/>
      <c r="BKD14" s="201" t="s">
        <v>34</v>
      </c>
      <c r="BKE14" s="201"/>
      <c r="BKF14" s="201"/>
      <c r="BKG14" s="201"/>
      <c r="BKH14" s="104"/>
      <c r="BKI14" s="104"/>
      <c r="BKJ14" s="202" t="s">
        <v>24</v>
      </c>
      <c r="BKK14" s="202"/>
      <c r="BKL14" s="202"/>
      <c r="BKM14" s="202"/>
      <c r="BKN14" s="129"/>
      <c r="BKO14" s="129"/>
      <c r="BKP14" s="201" t="s">
        <v>35</v>
      </c>
      <c r="BKQ14" s="201"/>
      <c r="BKR14" s="201"/>
      <c r="BKS14" s="201"/>
      <c r="BKT14" s="104"/>
      <c r="BKU14" s="104"/>
      <c r="BKV14" s="202" t="s">
        <v>25</v>
      </c>
      <c r="BKW14" s="202"/>
      <c r="BKX14" s="202"/>
      <c r="BKY14" s="202"/>
      <c r="BKZ14" s="129"/>
      <c r="BLA14" s="129"/>
      <c r="BLB14" s="201" t="s">
        <v>36</v>
      </c>
      <c r="BLC14" s="201"/>
      <c r="BLD14" s="201"/>
      <c r="BLE14" s="201"/>
      <c r="BLF14" s="104"/>
      <c r="BLG14" s="104"/>
      <c r="BLH14" s="202" t="s">
        <v>26</v>
      </c>
      <c r="BLI14" s="202"/>
      <c r="BLJ14" s="202"/>
      <c r="BLK14" s="202"/>
      <c r="BLL14" s="129"/>
      <c r="BLM14" s="129"/>
      <c r="BLN14" s="201" t="s">
        <v>37</v>
      </c>
      <c r="BLO14" s="201"/>
      <c r="BLP14" s="201"/>
      <c r="BLQ14" s="201"/>
      <c r="BLR14" s="104"/>
      <c r="BLS14" s="104"/>
      <c r="BLT14" s="104"/>
      <c r="BLU14" s="105"/>
      <c r="BLV14" s="103"/>
      <c r="BLW14" s="104"/>
      <c r="BLX14" s="104"/>
      <c r="BLY14" s="104"/>
      <c r="BLZ14" s="201" t="s">
        <v>33</v>
      </c>
      <c r="BMA14" s="201"/>
      <c r="BMB14" s="201"/>
      <c r="BMC14" s="201"/>
      <c r="BMD14" s="104"/>
      <c r="BME14" s="104"/>
      <c r="BMF14" s="202" t="s">
        <v>23</v>
      </c>
      <c r="BMG14" s="202"/>
      <c r="BMH14" s="202"/>
      <c r="BMI14" s="202"/>
      <c r="BMJ14" s="129"/>
      <c r="BMK14" s="129"/>
      <c r="BML14" s="201" t="s">
        <v>34</v>
      </c>
      <c r="BMM14" s="201"/>
      <c r="BMN14" s="201"/>
      <c r="BMO14" s="201"/>
      <c r="BMP14" s="104"/>
      <c r="BMQ14" s="104"/>
      <c r="BMR14" s="202" t="s">
        <v>24</v>
      </c>
      <c r="BMS14" s="202"/>
      <c r="BMT14" s="202"/>
      <c r="BMU14" s="202"/>
      <c r="BMV14" s="129"/>
      <c r="BMW14" s="129"/>
      <c r="BMX14" s="201" t="s">
        <v>35</v>
      </c>
      <c r="BMY14" s="201"/>
      <c r="BMZ14" s="201"/>
      <c r="BNA14" s="201"/>
      <c r="BNB14" s="104"/>
      <c r="BNC14" s="104"/>
      <c r="BND14" s="202" t="s">
        <v>25</v>
      </c>
      <c r="BNE14" s="202"/>
      <c r="BNF14" s="202"/>
      <c r="BNG14" s="202"/>
      <c r="BNH14" s="129"/>
      <c r="BNI14" s="129"/>
      <c r="BNJ14" s="201" t="s">
        <v>36</v>
      </c>
      <c r="BNK14" s="201"/>
      <c r="BNL14" s="201"/>
      <c r="BNM14" s="201"/>
      <c r="BNN14" s="104"/>
      <c r="BNO14" s="104"/>
      <c r="BNP14" s="202" t="s">
        <v>26</v>
      </c>
      <c r="BNQ14" s="202"/>
      <c r="BNR14" s="202"/>
      <c r="BNS14" s="202"/>
      <c r="BNT14" s="129"/>
      <c r="BNU14" s="129"/>
      <c r="BNV14" s="201" t="s">
        <v>37</v>
      </c>
      <c r="BNW14" s="201"/>
      <c r="BNX14" s="201"/>
      <c r="BNY14" s="201"/>
      <c r="BNZ14" s="104"/>
      <c r="BOA14" s="104"/>
      <c r="BOB14" s="104"/>
      <c r="BOC14" s="105"/>
      <c r="BOD14" s="90"/>
    </row>
    <row r="15" spans="1:174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211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24"/>
      <c r="BJO15" s="68"/>
      <c r="BJP15" s="68"/>
      <c r="BJQ15" s="68"/>
      <c r="BJR15" s="25"/>
      <c r="BJS15" s="130"/>
      <c r="BJT15" s="25"/>
      <c r="BJU15" s="25"/>
      <c r="BJV15" s="25"/>
      <c r="BJW15" s="25"/>
      <c r="BJX15" s="25"/>
      <c r="BJY15" s="135"/>
      <c r="BJZ15" s="25"/>
      <c r="BKA15" s="25"/>
      <c r="BKB15" s="25"/>
      <c r="BKC15" s="25"/>
      <c r="BKD15" s="25"/>
      <c r="BKE15" s="72"/>
      <c r="BKF15" s="25"/>
      <c r="BKG15" s="25"/>
      <c r="BKH15" s="25"/>
      <c r="BKI15" s="25"/>
      <c r="BKJ15" s="25"/>
      <c r="BKK15" s="135"/>
      <c r="BKL15" s="25"/>
      <c r="BKM15" s="25"/>
      <c r="BKN15" s="25"/>
      <c r="BKO15" s="25"/>
      <c r="BKP15" s="25"/>
      <c r="BKQ15" s="72"/>
      <c r="BKR15" s="68"/>
      <c r="BKS15" s="68"/>
      <c r="BKT15" s="68"/>
      <c r="BKU15" s="68"/>
      <c r="BKV15" s="25"/>
      <c r="BKW15" s="135"/>
      <c r="BKX15" s="25"/>
      <c r="BKY15" s="25"/>
      <c r="BKZ15" s="25"/>
      <c r="BLA15" s="25"/>
      <c r="BLB15" s="25"/>
      <c r="BLC15" s="72"/>
      <c r="BLD15" s="25"/>
      <c r="BLE15" s="25"/>
      <c r="BLF15" s="25"/>
      <c r="BLG15" s="25"/>
      <c r="BLH15" s="25"/>
      <c r="BLI15" s="135"/>
      <c r="BLJ15" s="25"/>
      <c r="BLK15" s="25"/>
      <c r="BLL15" s="25"/>
      <c r="BLM15" s="25"/>
      <c r="BLN15" s="25"/>
      <c r="BLO15" s="72"/>
      <c r="BLP15" s="25"/>
      <c r="BLQ15" s="25"/>
      <c r="BLR15" s="25"/>
      <c r="BLS15" s="25"/>
      <c r="BLT15" s="25"/>
      <c r="BLU15" s="26"/>
      <c r="BLV15" s="24"/>
      <c r="BLW15" s="68"/>
      <c r="BLX15" s="68"/>
      <c r="BLY15" s="68"/>
      <c r="BLZ15" s="25"/>
      <c r="BMA15" s="130"/>
      <c r="BMB15" s="25"/>
      <c r="BMC15" s="25"/>
      <c r="BMD15" s="25"/>
      <c r="BME15" s="25"/>
      <c r="BMF15" s="25"/>
      <c r="BMG15" s="135"/>
      <c r="BMH15" s="25"/>
      <c r="BMI15" s="25"/>
      <c r="BMJ15" s="25"/>
      <c r="BMK15" s="25"/>
      <c r="BML15" s="25"/>
      <c r="BMM15" s="72"/>
      <c r="BMN15" s="25"/>
      <c r="BMO15" s="25"/>
      <c r="BMP15" s="25"/>
      <c r="BMQ15" s="25"/>
      <c r="BMR15" s="25"/>
      <c r="BMS15" s="135"/>
      <c r="BMT15" s="25"/>
      <c r="BMU15" s="25"/>
      <c r="BMV15" s="25"/>
      <c r="BMW15" s="25"/>
      <c r="BMX15" s="25"/>
      <c r="BMY15" s="72"/>
      <c r="BMZ15" s="68"/>
      <c r="BNA15" s="68"/>
      <c r="BNB15" s="68"/>
      <c r="BNC15" s="68"/>
      <c r="BND15" s="25"/>
      <c r="BNE15" s="135"/>
      <c r="BNF15" s="25"/>
      <c r="BNG15" s="25"/>
      <c r="BNH15" s="25"/>
      <c r="BNI15" s="25"/>
      <c r="BNJ15" s="25"/>
      <c r="BNK15" s="72"/>
      <c r="BNL15" s="25"/>
      <c r="BNM15" s="25"/>
      <c r="BNN15" s="25"/>
      <c r="BNO15" s="25"/>
      <c r="BNP15" s="25"/>
      <c r="BNQ15" s="135"/>
      <c r="BNR15" s="25"/>
      <c r="BNS15" s="25"/>
      <c r="BNT15" s="25"/>
      <c r="BNU15" s="25"/>
      <c r="BNV15" s="25"/>
      <c r="BNW15" s="72"/>
      <c r="BNX15" s="25"/>
      <c r="BNY15" s="25"/>
      <c r="BNZ15" s="25"/>
      <c r="BOA15" s="25"/>
      <c r="BOB15" s="25"/>
      <c r="BOC15" s="26"/>
      <c r="BOD15" s="90"/>
    </row>
    <row r="16" spans="1:1746" ht="20.100000000000001" customHeight="1" x14ac:dyDescent="0.25">
      <c r="A16" s="100" t="s">
        <v>20</v>
      </c>
      <c r="B16" s="63" t="str">
        <f>IF(LEN(C17)=0,"",C17)</f>
        <v>Doc - Journal de travail</v>
      </c>
      <c r="C16" s="213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28"/>
      <c r="BJO16" s="67"/>
      <c r="BJP16" s="67"/>
      <c r="BJQ16" s="67"/>
      <c r="BJR16" s="29"/>
      <c r="BJS16" s="131"/>
      <c r="BJT16" s="29"/>
      <c r="BJU16" s="29"/>
      <c r="BJV16" s="29"/>
      <c r="BJW16" s="29"/>
      <c r="BJX16" s="29"/>
      <c r="BJY16" s="136"/>
      <c r="BJZ16" s="29"/>
      <c r="BKA16" s="29"/>
      <c r="BKB16" s="29"/>
      <c r="BKC16" s="29"/>
      <c r="BKD16" s="29"/>
      <c r="BKE16" s="73"/>
      <c r="BKF16" s="29"/>
      <c r="BKG16" s="29"/>
      <c r="BKH16" s="29"/>
      <c r="BKI16" s="29"/>
      <c r="BKJ16" s="29"/>
      <c r="BKK16" s="136"/>
      <c r="BKL16" s="29"/>
      <c r="BKM16" s="29"/>
      <c r="BKN16" s="29"/>
      <c r="BKO16" s="29"/>
      <c r="BKP16" s="29"/>
      <c r="BKQ16" s="73"/>
      <c r="BKR16" s="67"/>
      <c r="BKS16" s="67"/>
      <c r="BKT16" s="67"/>
      <c r="BKU16" s="67"/>
      <c r="BKV16" s="29"/>
      <c r="BKW16" s="136"/>
      <c r="BKX16" s="29"/>
      <c r="BKY16" s="29"/>
      <c r="BKZ16" s="29"/>
      <c r="BLA16" s="29"/>
      <c r="BLB16" s="29"/>
      <c r="BLC16" s="73"/>
      <c r="BLD16" s="29"/>
      <c r="BLE16" s="29"/>
      <c r="BLF16" s="29"/>
      <c r="BLG16" s="29"/>
      <c r="BLH16" s="29"/>
      <c r="BLI16" s="136"/>
      <c r="BLJ16" s="29"/>
      <c r="BLK16" s="29"/>
      <c r="BLL16" s="29"/>
      <c r="BLM16" s="29"/>
      <c r="BLN16" s="29"/>
      <c r="BLO16" s="73"/>
      <c r="BLP16" s="29"/>
      <c r="BLQ16" s="29"/>
      <c r="BLR16" s="29"/>
      <c r="BLS16" s="29"/>
      <c r="BLT16" s="29"/>
      <c r="BLU16" s="30"/>
      <c r="BLV16" s="28"/>
      <c r="BLW16" s="67"/>
      <c r="BLX16" s="67"/>
      <c r="BLY16" s="67"/>
      <c r="BLZ16" s="29"/>
      <c r="BMA16" s="131"/>
      <c r="BMB16" s="29"/>
      <c r="BMC16" s="29"/>
      <c r="BMD16" s="29"/>
      <c r="BME16" s="29"/>
      <c r="BMF16" s="29"/>
      <c r="BMG16" s="136"/>
      <c r="BMH16" s="29"/>
      <c r="BMI16" s="29"/>
      <c r="BMJ16" s="29"/>
      <c r="BMK16" s="29"/>
      <c r="BML16" s="29"/>
      <c r="BMM16" s="73"/>
      <c r="BMN16" s="29"/>
      <c r="BMO16" s="29"/>
      <c r="BMP16" s="29"/>
      <c r="BMQ16" s="29"/>
      <c r="BMR16" s="29"/>
      <c r="BMS16" s="136"/>
      <c r="BMT16" s="29"/>
      <c r="BMU16" s="29"/>
      <c r="BMV16" s="29"/>
      <c r="BMW16" s="29"/>
      <c r="BMX16" s="29"/>
      <c r="BMY16" s="73"/>
      <c r="BMZ16" s="67"/>
      <c r="BNA16" s="67"/>
      <c r="BNB16" s="67"/>
      <c r="BNC16" s="67"/>
      <c r="BND16" s="29"/>
      <c r="BNE16" s="136"/>
      <c r="BNF16" s="29"/>
      <c r="BNG16" s="29"/>
      <c r="BNH16" s="29"/>
      <c r="BNI16" s="29"/>
      <c r="BNJ16" s="29"/>
      <c r="BNK16" s="73"/>
      <c r="BNL16" s="29"/>
      <c r="BNM16" s="29"/>
      <c r="BNN16" s="29"/>
      <c r="BNO16" s="29"/>
      <c r="BNP16" s="29"/>
      <c r="BNQ16" s="136"/>
      <c r="BNR16" s="29"/>
      <c r="BNS16" s="29"/>
      <c r="BNT16" s="29"/>
      <c r="BNU16" s="29"/>
      <c r="BNV16" s="29"/>
      <c r="BNW16" s="73"/>
      <c r="BNX16" s="29"/>
      <c r="BNY16" s="29"/>
      <c r="BNZ16" s="29"/>
      <c r="BOA16" s="29"/>
      <c r="BOB16" s="29"/>
      <c r="BOC16" s="30"/>
      <c r="BOD16" s="90"/>
    </row>
    <row r="17" spans="1:1746" ht="20.100000000000001" customHeight="1" x14ac:dyDescent="0.25">
      <c r="A17" s="100" t="s">
        <v>19</v>
      </c>
      <c r="B17" s="63" t="str">
        <f>IF(LEN(C19)=0,"",C19)</f>
        <v>Doc - Rapport</v>
      </c>
      <c r="C17" s="211" t="s">
        <v>16</v>
      </c>
      <c r="D17" s="146" t="str">
        <f t="shared" si="0"/>
        <v>5h25min</v>
      </c>
      <c r="E17" s="31">
        <v>65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183"/>
      <c r="FG17" s="18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183"/>
      <c r="HO17" s="18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183"/>
      <c r="JW17" s="18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183"/>
      <c r="MO17" s="186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183"/>
      <c r="OM17" s="18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183"/>
      <c r="RE17" s="186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183"/>
      <c r="SS17" s="18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183"/>
      <c r="VK17" s="18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183"/>
      <c r="XS17" s="18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183"/>
      <c r="AAK17" s="186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183"/>
      <c r="ABY17" s="18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183"/>
      <c r="AEQ17" s="18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183"/>
      <c r="AGY17" s="18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183"/>
      <c r="AJG17" s="18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183"/>
      <c r="ALY17" s="186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183"/>
      <c r="ANW17" s="18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183"/>
      <c r="AQE17" s="18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183"/>
      <c r="ASM17" s="18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183"/>
      <c r="AUU17" s="18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183"/>
      <c r="AXM17" s="186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183"/>
      <c r="AZK17" s="18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183"/>
      <c r="BCC17" s="186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183"/>
      <c r="BDQ17" s="18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183"/>
      <c r="BFR17" s="183"/>
      <c r="BFS17" s="183"/>
      <c r="BFT17" s="183"/>
      <c r="BFU17" s="186"/>
      <c r="BFV17" s="183"/>
      <c r="BFW17" s="183"/>
      <c r="BFX17" s="183"/>
      <c r="BFY17" s="183"/>
      <c r="BFZ17" s="183"/>
      <c r="BGA17" s="184"/>
      <c r="BGB17" s="185"/>
      <c r="BGC17" s="185"/>
      <c r="BGD17" s="185"/>
      <c r="BGE17" s="185"/>
      <c r="BGF17" s="183"/>
      <c r="BGG17" s="186"/>
      <c r="BGH17" s="183"/>
      <c r="BGI17" s="18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32"/>
      <c r="BJO17" s="64"/>
      <c r="BJP17" s="64"/>
      <c r="BJQ17" s="64"/>
      <c r="BJR17" s="33"/>
      <c r="BJS17" s="132"/>
      <c r="BJT17" s="33"/>
      <c r="BJU17" s="33"/>
      <c r="BJV17" s="33"/>
      <c r="BJW17" s="33"/>
      <c r="BJX17" s="33"/>
      <c r="BJY17" s="137"/>
      <c r="BJZ17" s="33"/>
      <c r="BKA17" s="33"/>
      <c r="BKB17" s="33"/>
      <c r="BKC17" s="33"/>
      <c r="BKD17" s="33"/>
      <c r="BKE17" s="74"/>
      <c r="BKF17" s="33"/>
      <c r="BKG17" s="33"/>
      <c r="BKH17" s="33"/>
      <c r="BKI17" s="33"/>
      <c r="BKJ17" s="33"/>
      <c r="BKK17" s="137"/>
      <c r="BKL17" s="33"/>
      <c r="BKM17" s="33"/>
      <c r="BKN17" s="33"/>
      <c r="BKO17" s="33"/>
      <c r="BKP17" s="33"/>
      <c r="BKQ17" s="74"/>
      <c r="BKR17" s="64"/>
      <c r="BKS17" s="64"/>
      <c r="BKT17" s="64"/>
      <c r="BKU17" s="64"/>
      <c r="BKV17" s="33"/>
      <c r="BKW17" s="137"/>
      <c r="BKX17" s="33"/>
      <c r="BKY17" s="33"/>
      <c r="BKZ17" s="33"/>
      <c r="BLA17" s="33"/>
      <c r="BLB17" s="33"/>
      <c r="BLC17" s="74"/>
      <c r="BLD17" s="33"/>
      <c r="BLE17" s="33"/>
      <c r="BLF17" s="33"/>
      <c r="BLG17" s="33"/>
      <c r="BLH17" s="33"/>
      <c r="BLI17" s="137"/>
      <c r="BLJ17" s="33"/>
      <c r="BLK17" s="33"/>
      <c r="BLL17" s="33"/>
      <c r="BLM17" s="33"/>
      <c r="BLN17" s="33"/>
      <c r="BLO17" s="74"/>
      <c r="BLP17" s="33"/>
      <c r="BLQ17" s="33"/>
      <c r="BLR17" s="33"/>
      <c r="BLS17" s="33"/>
      <c r="BLT17" s="33"/>
      <c r="BLU17" s="34"/>
      <c r="BLV17" s="32"/>
      <c r="BLW17" s="64"/>
      <c r="BLX17" s="64"/>
      <c r="BLY17" s="64"/>
      <c r="BLZ17" s="33"/>
      <c r="BMA17" s="132"/>
      <c r="BMB17" s="33"/>
      <c r="BMC17" s="33"/>
      <c r="BMD17" s="33"/>
      <c r="BME17" s="33"/>
      <c r="BMF17" s="33"/>
      <c r="BMG17" s="137"/>
      <c r="BMH17" s="33"/>
      <c r="BMI17" s="33"/>
      <c r="BMJ17" s="33"/>
      <c r="BMK17" s="33"/>
      <c r="BML17" s="33"/>
      <c r="BMM17" s="74"/>
      <c r="BMN17" s="33"/>
      <c r="BMO17" s="33"/>
      <c r="BMP17" s="33"/>
      <c r="BMQ17" s="33"/>
      <c r="BMR17" s="33"/>
      <c r="BMS17" s="137"/>
      <c r="BMT17" s="33"/>
      <c r="BMU17" s="33"/>
      <c r="BMV17" s="33"/>
      <c r="BMW17" s="33"/>
      <c r="BMX17" s="33"/>
      <c r="BMY17" s="74"/>
      <c r="BMZ17" s="64"/>
      <c r="BNA17" s="64"/>
      <c r="BNB17" s="64"/>
      <c r="BNC17" s="64"/>
      <c r="BND17" s="33"/>
      <c r="BNE17" s="137"/>
      <c r="BNF17" s="33"/>
      <c r="BNG17" s="33"/>
      <c r="BNH17" s="33"/>
      <c r="BNI17" s="33"/>
      <c r="BNJ17" s="33"/>
      <c r="BNK17" s="74"/>
      <c r="BNL17" s="33"/>
      <c r="BNM17" s="33"/>
      <c r="BNN17" s="33"/>
      <c r="BNO17" s="33"/>
      <c r="BNP17" s="33"/>
      <c r="BNQ17" s="137"/>
      <c r="BNR17" s="33"/>
      <c r="BNS17" s="33"/>
      <c r="BNT17" s="33"/>
      <c r="BNU17" s="33"/>
      <c r="BNV17" s="33"/>
      <c r="BNW17" s="74"/>
      <c r="BNX17" s="33"/>
      <c r="BNY17" s="33"/>
      <c r="BNZ17" s="33"/>
      <c r="BOA17" s="33"/>
      <c r="BOB17" s="33"/>
      <c r="BOC17" s="34"/>
      <c r="BOD17" s="90"/>
    </row>
    <row r="18" spans="1:1746" ht="20.100000000000001" customHeight="1" x14ac:dyDescent="0.3">
      <c r="A18" s="100" t="s">
        <v>20</v>
      </c>
      <c r="B18" s="63" t="str">
        <f>IF(LEN(C21)=0,"",C21)</f>
        <v>Meeting - Chef de Projet</v>
      </c>
      <c r="C18" s="212"/>
      <c r="D18" s="148" t="str">
        <f t="shared" si="0"/>
        <v>0h25min</v>
      </c>
      <c r="E18" s="35">
        <v>5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70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167"/>
      <c r="CO18" s="16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16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16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36"/>
      <c r="BJO18" s="65"/>
      <c r="BJP18" s="65"/>
      <c r="BJQ18" s="65"/>
      <c r="BJR18" s="37"/>
      <c r="BJS18" s="133"/>
      <c r="BJT18" s="37"/>
      <c r="BJU18" s="37"/>
      <c r="BJV18" s="37"/>
      <c r="BJW18" s="37"/>
      <c r="BJX18" s="37"/>
      <c r="BJY18" s="138"/>
      <c r="BJZ18" s="37"/>
      <c r="BKA18" s="37"/>
      <c r="BKB18" s="37"/>
      <c r="BKC18" s="37"/>
      <c r="BKD18" s="37"/>
      <c r="BKE18" s="75"/>
      <c r="BKF18" s="37"/>
      <c r="BKG18" s="37"/>
      <c r="BKH18" s="37"/>
      <c r="BKI18" s="37"/>
      <c r="BKJ18" s="37"/>
      <c r="BKK18" s="138"/>
      <c r="BKL18" s="37"/>
      <c r="BKM18" s="37"/>
      <c r="BKN18" s="37"/>
      <c r="BKO18" s="37"/>
      <c r="BKP18" s="37"/>
      <c r="BKQ18" s="75"/>
      <c r="BKR18" s="65"/>
      <c r="BKS18" s="65"/>
      <c r="BKT18" s="65"/>
      <c r="BKU18" s="65"/>
      <c r="BKV18" s="37"/>
      <c r="BKW18" s="138"/>
      <c r="BKX18" s="37"/>
      <c r="BKY18" s="37"/>
      <c r="BKZ18" s="37"/>
      <c r="BLA18" s="37"/>
      <c r="BLB18" s="37"/>
      <c r="BLC18" s="75"/>
      <c r="BLD18" s="37"/>
      <c r="BLE18" s="37"/>
      <c r="BLF18" s="37"/>
      <c r="BLG18" s="37"/>
      <c r="BLH18" s="37"/>
      <c r="BLI18" s="138"/>
      <c r="BLJ18" s="37"/>
      <c r="BLK18" s="37"/>
      <c r="BLL18" s="37"/>
      <c r="BLM18" s="37"/>
      <c r="BLN18" s="37"/>
      <c r="BLO18" s="75"/>
      <c r="BLP18" s="37"/>
      <c r="BLQ18" s="37"/>
      <c r="BLR18" s="37"/>
      <c r="BLS18" s="37"/>
      <c r="BLT18" s="37"/>
      <c r="BLU18" s="38"/>
      <c r="BLV18" s="36"/>
      <c r="BLW18" s="65"/>
      <c r="BLX18" s="65"/>
      <c r="BLY18" s="65"/>
      <c r="BLZ18" s="37"/>
      <c r="BMA18" s="133"/>
      <c r="BMB18" s="37"/>
      <c r="BMC18" s="37"/>
      <c r="BMD18" s="37"/>
      <c r="BME18" s="37"/>
      <c r="BMF18" s="37"/>
      <c r="BMG18" s="138"/>
      <c r="BMH18" s="37"/>
      <c r="BMI18" s="37"/>
      <c r="BMJ18" s="37"/>
      <c r="BMK18" s="37"/>
      <c r="BML18" s="37"/>
      <c r="BMM18" s="75"/>
      <c r="BMN18" s="37"/>
      <c r="BMO18" s="37"/>
      <c r="BMP18" s="37"/>
      <c r="BMQ18" s="37"/>
      <c r="BMR18" s="37"/>
      <c r="BMS18" s="138"/>
      <c r="BMT18" s="37"/>
      <c r="BMU18" s="37"/>
      <c r="BMV18" s="37"/>
      <c r="BMW18" s="37"/>
      <c r="BMX18" s="37"/>
      <c r="BMY18" s="75"/>
      <c r="BMZ18" s="65"/>
      <c r="BNA18" s="65"/>
      <c r="BNB18" s="65"/>
      <c r="BNC18" s="65"/>
      <c r="BND18" s="37"/>
      <c r="BNE18" s="138"/>
      <c r="BNF18" s="37"/>
      <c r="BNG18" s="37"/>
      <c r="BNH18" s="37"/>
      <c r="BNI18" s="37"/>
      <c r="BNJ18" s="37"/>
      <c r="BNK18" s="75"/>
      <c r="BNL18" s="37"/>
      <c r="BNM18" s="37"/>
      <c r="BNN18" s="37"/>
      <c r="BNO18" s="37"/>
      <c r="BNP18" s="37"/>
      <c r="BNQ18" s="138"/>
      <c r="BNR18" s="37"/>
      <c r="BNS18" s="37"/>
      <c r="BNT18" s="37"/>
      <c r="BNU18" s="37"/>
      <c r="BNV18" s="37"/>
      <c r="BNW18" s="75"/>
      <c r="BNX18" s="37"/>
      <c r="BNY18" s="37"/>
      <c r="BNZ18" s="37"/>
      <c r="BOA18" s="37"/>
      <c r="BOB18" s="37"/>
      <c r="BOC18" s="38"/>
      <c r="BOD18" s="90"/>
    </row>
    <row r="19" spans="1:1746" ht="20.100000000000001" customHeight="1" x14ac:dyDescent="0.25">
      <c r="A19" s="100" t="s">
        <v>19</v>
      </c>
      <c r="B19" s="63" t="str">
        <f>IF(LEN(C23)=0,"",C23)</f>
        <v>Meeting - Expert 1</v>
      </c>
      <c r="C19" s="211" t="s">
        <v>15</v>
      </c>
      <c r="D19" s="146" t="str">
        <f t="shared" si="0"/>
        <v>21h35min</v>
      </c>
      <c r="E19" s="39">
        <v>259</v>
      </c>
      <c r="F19" s="40"/>
      <c r="G19" s="66"/>
      <c r="H19" s="66"/>
      <c r="I19" s="66"/>
      <c r="J19" s="41"/>
      <c r="K19" s="134"/>
      <c r="L19" s="41"/>
      <c r="M19" s="41"/>
      <c r="N19" s="41"/>
      <c r="O19" s="179"/>
      <c r="P19" s="179"/>
      <c r="Q19" s="181"/>
      <c r="R19" s="179"/>
      <c r="S19" s="179"/>
      <c r="T19" s="179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80"/>
      <c r="EB19" s="179"/>
      <c r="EC19" s="179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179"/>
      <c r="EQ19" s="179"/>
      <c r="ER19" s="179"/>
      <c r="ES19" s="181"/>
      <c r="ET19" s="179"/>
      <c r="EU19" s="179"/>
      <c r="EV19" s="41"/>
      <c r="EW19" s="41"/>
      <c r="EX19" s="41"/>
      <c r="EY19" s="76"/>
      <c r="EZ19" s="66"/>
      <c r="FA19" s="66"/>
      <c r="FB19" s="178"/>
      <c r="FC19" s="178"/>
      <c r="FD19" s="179"/>
      <c r="FE19" s="181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177"/>
      <c r="IM19" s="178"/>
      <c r="IN19" s="178"/>
      <c r="IO19" s="178"/>
      <c r="IP19" s="179"/>
      <c r="IQ19" s="180"/>
      <c r="IR19" s="179"/>
      <c r="IS19" s="179"/>
      <c r="IT19" s="179"/>
      <c r="IU19" s="179"/>
      <c r="IV19" s="179"/>
      <c r="IW19" s="181"/>
      <c r="IX19" s="179"/>
      <c r="IY19" s="179"/>
      <c r="IZ19" s="179"/>
      <c r="JA19" s="179"/>
      <c r="JB19" s="179"/>
      <c r="JC19" s="182"/>
      <c r="JD19" s="179"/>
      <c r="JE19" s="179"/>
      <c r="JF19" s="179"/>
      <c r="JG19" s="179"/>
      <c r="JH19" s="179"/>
      <c r="JI19" s="181"/>
      <c r="JJ19" s="179"/>
      <c r="JK19" s="179"/>
      <c r="JL19" s="179"/>
      <c r="JM19" s="179"/>
      <c r="JN19" s="179"/>
      <c r="JO19" s="182"/>
      <c r="JP19" s="178"/>
      <c r="JQ19" s="178"/>
      <c r="JR19" s="178"/>
      <c r="JS19" s="178"/>
      <c r="JT19" s="179"/>
      <c r="JU19" s="181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177"/>
      <c r="RS19" s="178"/>
      <c r="RT19" s="178"/>
      <c r="RU19" s="178"/>
      <c r="RV19" s="179"/>
      <c r="RW19" s="180"/>
      <c r="RX19" s="179"/>
      <c r="RY19" s="179"/>
      <c r="RZ19" s="179"/>
      <c r="SA19" s="179"/>
      <c r="SB19" s="179"/>
      <c r="SC19" s="181"/>
      <c r="SD19" s="179"/>
      <c r="SE19" s="179"/>
      <c r="SF19" s="179"/>
      <c r="SG19" s="179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179"/>
      <c r="UY19" s="179"/>
      <c r="UZ19" s="179"/>
      <c r="VA19" s="179"/>
      <c r="VB19" s="179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178"/>
      <c r="XM19" s="178"/>
      <c r="XN19" s="178"/>
      <c r="XO19" s="178"/>
      <c r="XP19" s="179"/>
      <c r="XQ19" s="181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81"/>
      <c r="ZZ19" s="179"/>
      <c r="AAA19" s="179"/>
      <c r="AAB19" s="179"/>
      <c r="AAC19" s="179"/>
      <c r="AAD19" s="179"/>
      <c r="AAE19" s="182"/>
      <c r="AAF19" s="179"/>
      <c r="AAG19" s="179"/>
      <c r="AAH19" s="179"/>
      <c r="AAI19" s="179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179"/>
      <c r="AGG19" s="179"/>
      <c r="AGH19" s="179"/>
      <c r="AGI19" s="179"/>
      <c r="AGJ19" s="179"/>
      <c r="AGK19" s="181"/>
      <c r="AGL19" s="179"/>
      <c r="AGM19" s="179"/>
      <c r="AGN19" s="179"/>
      <c r="AGO19" s="179"/>
      <c r="AGP19" s="179"/>
      <c r="AGQ19" s="182"/>
      <c r="AGR19" s="178"/>
      <c r="AGS19" s="178"/>
      <c r="AGT19" s="178"/>
      <c r="AGU19" s="178"/>
      <c r="AGV19" s="179"/>
      <c r="AGW19" s="181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178"/>
      <c r="ANS19" s="178"/>
      <c r="ANT19" s="179"/>
      <c r="ANU19" s="181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179"/>
      <c r="ARV19" s="179"/>
      <c r="ARW19" s="179"/>
      <c r="ARX19" s="179"/>
      <c r="ARY19" s="181"/>
      <c r="ARZ19" s="179"/>
      <c r="ASA19" s="179"/>
      <c r="ASB19" s="179"/>
      <c r="ASC19" s="179"/>
      <c r="ASD19" s="179"/>
      <c r="ASE19" s="182"/>
      <c r="ASF19" s="178"/>
      <c r="ASG19" s="178"/>
      <c r="ASH19" s="178"/>
      <c r="ASI19" s="178"/>
      <c r="ASJ19" s="179"/>
      <c r="ASK19" s="181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182"/>
      <c r="AUB19" s="179"/>
      <c r="AUC19" s="179"/>
      <c r="AUD19" s="179"/>
      <c r="AUE19" s="179"/>
      <c r="AUF19" s="179"/>
      <c r="AUG19" s="181"/>
      <c r="AUH19" s="179"/>
      <c r="AUI19" s="179"/>
      <c r="AUJ19" s="179"/>
      <c r="AUK19" s="179"/>
      <c r="AUL19" s="179"/>
      <c r="AUM19" s="182"/>
      <c r="AUN19" s="178"/>
      <c r="AUO19" s="178"/>
      <c r="AUP19" s="178"/>
      <c r="AUQ19" s="178"/>
      <c r="AUR19" s="179"/>
      <c r="AUS19" s="181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179"/>
      <c r="AWH19" s="179"/>
      <c r="AWI19" s="182"/>
      <c r="AWJ19" s="179"/>
      <c r="AWK19" s="179"/>
      <c r="AWL19" s="179"/>
      <c r="AWM19" s="179"/>
      <c r="AWN19" s="179"/>
      <c r="AWO19" s="181"/>
      <c r="AWP19" s="179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179"/>
      <c r="AYT19" s="179"/>
      <c r="AYU19" s="179"/>
      <c r="AYV19" s="179"/>
      <c r="AYW19" s="181"/>
      <c r="AYX19" s="179"/>
      <c r="AYY19" s="179"/>
      <c r="AYZ19" s="179"/>
      <c r="AZA19" s="179"/>
      <c r="AZB19" s="179"/>
      <c r="AZC19" s="182"/>
      <c r="AZD19" s="178"/>
      <c r="AZE19" s="178"/>
      <c r="AZF19" s="178"/>
      <c r="AZG19" s="178"/>
      <c r="AZH19" s="179"/>
      <c r="AZI19" s="181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179"/>
      <c r="BAS19" s="181"/>
      <c r="BAT19" s="179"/>
      <c r="BAU19" s="179"/>
      <c r="BAV19" s="179"/>
      <c r="BAW19" s="179"/>
      <c r="BAX19" s="179"/>
      <c r="BAY19" s="182"/>
      <c r="BAZ19" s="179"/>
      <c r="BBA19" s="179"/>
      <c r="BBB19" s="179"/>
      <c r="BBC19" s="179"/>
      <c r="BBD19" s="179"/>
      <c r="BBE19" s="181"/>
      <c r="BBF19" s="179"/>
      <c r="BBG19" s="179"/>
      <c r="BBH19" s="179"/>
      <c r="BBI19" s="179"/>
      <c r="BBJ19" s="179"/>
      <c r="BBK19" s="182"/>
      <c r="BBL19" s="178"/>
      <c r="BBM19" s="178"/>
      <c r="BBN19" s="178"/>
      <c r="BBO19" s="178"/>
      <c r="BBP19" s="179"/>
      <c r="BBQ19" s="181"/>
      <c r="BBR19" s="179"/>
      <c r="BBS19" s="179"/>
      <c r="BBT19" s="179"/>
      <c r="BBU19" s="179"/>
      <c r="BBV19" s="179"/>
      <c r="BBW19" s="182"/>
      <c r="BBX19" s="179"/>
      <c r="BBY19" s="179"/>
      <c r="BBZ19" s="179"/>
      <c r="BCA19" s="179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177"/>
      <c r="BCQ19" s="178"/>
      <c r="BCR19" s="178"/>
      <c r="BCS19" s="178"/>
      <c r="BCT19" s="179"/>
      <c r="BCU19" s="180"/>
      <c r="BCV19" s="179"/>
      <c r="BCW19" s="179"/>
      <c r="BCX19" s="179"/>
      <c r="BCY19" s="179"/>
      <c r="BCZ19" s="179"/>
      <c r="BDA19" s="181"/>
      <c r="BDB19" s="179"/>
      <c r="BDC19" s="179"/>
      <c r="BDD19" s="179"/>
      <c r="BDE19" s="179"/>
      <c r="BDF19" s="179"/>
      <c r="BDG19" s="182"/>
      <c r="BDH19" s="179"/>
      <c r="BDI19" s="179"/>
      <c r="BDJ19" s="179"/>
      <c r="BDK19" s="179"/>
      <c r="BDL19" s="179"/>
      <c r="BDM19" s="181"/>
      <c r="BDN19" s="179"/>
      <c r="BDO19" s="179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177"/>
      <c r="BEY19" s="178"/>
      <c r="BEZ19" s="178"/>
      <c r="BFA19" s="178"/>
      <c r="BFB19" s="179"/>
      <c r="BFC19" s="180"/>
      <c r="BFD19" s="179"/>
      <c r="BFE19" s="179"/>
      <c r="BFF19" s="179"/>
      <c r="BFG19" s="179"/>
      <c r="BFH19" s="179"/>
      <c r="BFI19" s="181"/>
      <c r="BFJ19" s="179"/>
      <c r="BFK19" s="179"/>
      <c r="BFL19" s="179"/>
      <c r="BFM19" s="179"/>
      <c r="BFN19" s="179"/>
      <c r="BFO19" s="182"/>
      <c r="BFP19" s="179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40"/>
      <c r="BJO19" s="66"/>
      <c r="BJP19" s="66"/>
      <c r="BJQ19" s="66"/>
      <c r="BJR19" s="41"/>
      <c r="BJS19" s="134"/>
      <c r="BJT19" s="41"/>
      <c r="BJU19" s="41"/>
      <c r="BJV19" s="41"/>
      <c r="BJW19" s="41"/>
      <c r="BJX19" s="41"/>
      <c r="BJY19" s="139"/>
      <c r="BJZ19" s="41"/>
      <c r="BKA19" s="41"/>
      <c r="BKB19" s="41"/>
      <c r="BKC19" s="41"/>
      <c r="BKD19" s="41"/>
      <c r="BKE19" s="76"/>
      <c r="BKF19" s="41"/>
      <c r="BKG19" s="41"/>
      <c r="BKH19" s="41"/>
      <c r="BKI19" s="41"/>
      <c r="BKJ19" s="41"/>
      <c r="BKK19" s="139"/>
      <c r="BKL19" s="41"/>
      <c r="BKM19" s="41"/>
      <c r="BKN19" s="41"/>
      <c r="BKO19" s="41"/>
      <c r="BKP19" s="41"/>
      <c r="BKQ19" s="76"/>
      <c r="BKR19" s="66"/>
      <c r="BKS19" s="66"/>
      <c r="BKT19" s="66"/>
      <c r="BKU19" s="66"/>
      <c r="BKV19" s="41"/>
      <c r="BKW19" s="139"/>
      <c r="BKX19" s="41"/>
      <c r="BKY19" s="41"/>
      <c r="BKZ19" s="41"/>
      <c r="BLA19" s="41"/>
      <c r="BLB19" s="41"/>
      <c r="BLC19" s="76"/>
      <c r="BLD19" s="41"/>
      <c r="BLE19" s="41"/>
      <c r="BLF19" s="41"/>
      <c r="BLG19" s="41"/>
      <c r="BLH19" s="41"/>
      <c r="BLI19" s="139"/>
      <c r="BLJ19" s="41"/>
      <c r="BLK19" s="41"/>
      <c r="BLL19" s="41"/>
      <c r="BLM19" s="41"/>
      <c r="BLN19" s="41"/>
      <c r="BLO19" s="76"/>
      <c r="BLP19" s="41"/>
      <c r="BLQ19" s="41"/>
      <c r="BLR19" s="41"/>
      <c r="BLS19" s="41"/>
      <c r="BLT19" s="41"/>
      <c r="BLU19" s="42"/>
      <c r="BLV19" s="40"/>
      <c r="BLW19" s="66"/>
      <c r="BLX19" s="66"/>
      <c r="BLY19" s="66"/>
      <c r="BLZ19" s="41"/>
      <c r="BMA19" s="134"/>
      <c r="BMB19" s="41"/>
      <c r="BMC19" s="41"/>
      <c r="BMD19" s="41"/>
      <c r="BME19" s="41"/>
      <c r="BMF19" s="41"/>
      <c r="BMG19" s="139"/>
      <c r="BMH19" s="41"/>
      <c r="BMI19" s="41"/>
      <c r="BMJ19" s="41"/>
      <c r="BMK19" s="41"/>
      <c r="BML19" s="41"/>
      <c r="BMM19" s="76"/>
      <c r="BMN19" s="41"/>
      <c r="BMO19" s="41"/>
      <c r="BMP19" s="41"/>
      <c r="BMQ19" s="41"/>
      <c r="BMR19" s="41"/>
      <c r="BMS19" s="139"/>
      <c r="BMT19" s="41"/>
      <c r="BMU19" s="41"/>
      <c r="BMV19" s="41"/>
      <c r="BMW19" s="41"/>
      <c r="BMX19" s="41"/>
      <c r="BMY19" s="76"/>
      <c r="BMZ19" s="66"/>
      <c r="BNA19" s="66"/>
      <c r="BNB19" s="66"/>
      <c r="BNC19" s="66"/>
      <c r="BND19" s="41"/>
      <c r="BNE19" s="139"/>
      <c r="BNF19" s="41"/>
      <c r="BNG19" s="41"/>
      <c r="BNH19" s="41"/>
      <c r="BNI19" s="41"/>
      <c r="BNJ19" s="41"/>
      <c r="BNK19" s="76"/>
      <c r="BNL19" s="41"/>
      <c r="BNM19" s="41"/>
      <c r="BNN19" s="41"/>
      <c r="BNO19" s="41"/>
      <c r="BNP19" s="41"/>
      <c r="BNQ19" s="139"/>
      <c r="BNR19" s="41"/>
      <c r="BNS19" s="41"/>
      <c r="BNT19" s="41"/>
      <c r="BNU19" s="41"/>
      <c r="BNV19" s="41"/>
      <c r="BNW19" s="76"/>
      <c r="BNX19" s="41"/>
      <c r="BNY19" s="41"/>
      <c r="BNZ19" s="41"/>
      <c r="BOA19" s="41"/>
      <c r="BOB19" s="41"/>
      <c r="BOC19" s="42"/>
      <c r="BOD19" s="90"/>
    </row>
    <row r="20" spans="1:1746" ht="20.100000000000001" customHeight="1" x14ac:dyDescent="0.25">
      <c r="A20" s="100" t="s">
        <v>20</v>
      </c>
      <c r="B20" s="63" t="str">
        <f>IF(LEN(C25)=0,"",C25)</f>
        <v>Meeting - Expert 2</v>
      </c>
      <c r="C20" s="212"/>
      <c r="D20" s="147" t="str">
        <f t="shared" si="0"/>
        <v>2h25min</v>
      </c>
      <c r="E20" s="27">
        <v>29</v>
      </c>
      <c r="F20" s="28"/>
      <c r="G20" s="67"/>
      <c r="H20" s="67"/>
      <c r="I20" s="67"/>
      <c r="J20" s="29"/>
      <c r="K20" s="131"/>
      <c r="L20" s="29"/>
      <c r="M20" s="29"/>
      <c r="N20" s="29"/>
      <c r="O20" s="169"/>
      <c r="P20" s="169"/>
      <c r="Q20" s="173"/>
      <c r="R20" s="169"/>
      <c r="S20" s="169"/>
      <c r="T20" s="16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169"/>
      <c r="EG20" s="173"/>
      <c r="EH20" s="169"/>
      <c r="EI20" s="169"/>
      <c r="EJ20" s="169"/>
      <c r="EK20" s="29"/>
      <c r="EL20" s="29"/>
      <c r="EM20" s="75"/>
      <c r="EN20" s="29"/>
      <c r="EO20" s="29"/>
      <c r="EP20" s="29"/>
      <c r="EQ20" s="29"/>
      <c r="ER20" s="29"/>
      <c r="ES20" s="173"/>
      <c r="ET20" s="169"/>
      <c r="EU20" s="169"/>
      <c r="EV20" s="169"/>
      <c r="EW20" s="169"/>
      <c r="EX20" s="169"/>
      <c r="EY20" s="175"/>
      <c r="EZ20" s="172"/>
      <c r="FA20" s="172"/>
      <c r="FB20" s="172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191"/>
      <c r="GE20" s="172"/>
      <c r="GF20" s="172"/>
      <c r="GG20" s="172"/>
      <c r="GH20" s="169"/>
      <c r="GI20" s="192"/>
      <c r="GJ20" s="169"/>
      <c r="GK20" s="16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28"/>
      <c r="BJO20" s="67"/>
      <c r="BJP20" s="67"/>
      <c r="BJQ20" s="67"/>
      <c r="BJR20" s="29"/>
      <c r="BJS20" s="131"/>
      <c r="BJT20" s="29"/>
      <c r="BJU20" s="29"/>
      <c r="BJV20" s="29"/>
      <c r="BJW20" s="29"/>
      <c r="BJX20" s="29"/>
      <c r="BJY20" s="136"/>
      <c r="BJZ20" s="29"/>
      <c r="BKA20" s="29"/>
      <c r="BKB20" s="29"/>
      <c r="BKC20" s="29"/>
      <c r="BKD20" s="29"/>
      <c r="BKE20" s="75"/>
      <c r="BKF20" s="29"/>
      <c r="BKG20" s="29"/>
      <c r="BKH20" s="29"/>
      <c r="BKI20" s="29"/>
      <c r="BKJ20" s="29"/>
      <c r="BKK20" s="136"/>
      <c r="BKL20" s="29"/>
      <c r="BKM20" s="29"/>
      <c r="BKN20" s="29"/>
      <c r="BKO20" s="29"/>
      <c r="BKP20" s="29"/>
      <c r="BKQ20" s="75"/>
      <c r="BKR20" s="67"/>
      <c r="BKS20" s="67"/>
      <c r="BKT20" s="67"/>
      <c r="BKU20" s="67"/>
      <c r="BKV20" s="29"/>
      <c r="BKW20" s="136"/>
      <c r="BKX20" s="29"/>
      <c r="BKY20" s="29"/>
      <c r="BKZ20" s="29"/>
      <c r="BLA20" s="29"/>
      <c r="BLB20" s="37"/>
      <c r="BLC20" s="75"/>
      <c r="BLD20" s="29"/>
      <c r="BLE20" s="29"/>
      <c r="BLF20" s="29"/>
      <c r="BLG20" s="29"/>
      <c r="BLH20" s="29"/>
      <c r="BLI20" s="136"/>
      <c r="BLJ20" s="29"/>
      <c r="BLK20" s="29"/>
      <c r="BLL20" s="29"/>
      <c r="BLM20" s="29"/>
      <c r="BLN20" s="29"/>
      <c r="BLO20" s="75"/>
      <c r="BLP20" s="29"/>
      <c r="BLQ20" s="29"/>
      <c r="BLR20" s="29"/>
      <c r="BLS20" s="29"/>
      <c r="BLT20" s="29"/>
      <c r="BLU20" s="30"/>
      <c r="BLV20" s="28"/>
      <c r="BLW20" s="67"/>
      <c r="BLX20" s="67"/>
      <c r="BLY20" s="67"/>
      <c r="BLZ20" s="29"/>
      <c r="BMA20" s="131"/>
      <c r="BMB20" s="29"/>
      <c r="BMC20" s="29"/>
      <c r="BMD20" s="29"/>
      <c r="BME20" s="29"/>
      <c r="BMF20" s="29"/>
      <c r="BMG20" s="136"/>
      <c r="BMH20" s="29"/>
      <c r="BMI20" s="29"/>
      <c r="BMJ20" s="29"/>
      <c r="BMK20" s="29"/>
      <c r="BML20" s="29"/>
      <c r="BMM20" s="75"/>
      <c r="BMN20" s="29"/>
      <c r="BMO20" s="29"/>
      <c r="BMP20" s="29"/>
      <c r="BMQ20" s="29"/>
      <c r="BMR20" s="29"/>
      <c r="BMS20" s="136"/>
      <c r="BMT20" s="29"/>
      <c r="BMU20" s="29"/>
      <c r="BMV20" s="29"/>
      <c r="BMW20" s="29"/>
      <c r="BMX20" s="29"/>
      <c r="BMY20" s="75"/>
      <c r="BMZ20" s="67"/>
      <c r="BNA20" s="67"/>
      <c r="BNB20" s="67"/>
      <c r="BNC20" s="67"/>
      <c r="BND20" s="29"/>
      <c r="BNE20" s="136"/>
      <c r="BNF20" s="29"/>
      <c r="BNG20" s="29"/>
      <c r="BNH20" s="29"/>
      <c r="BNI20" s="29"/>
      <c r="BNJ20" s="37"/>
      <c r="BNK20" s="75"/>
      <c r="BNL20" s="29"/>
      <c r="BNM20" s="29"/>
      <c r="BNN20" s="29"/>
      <c r="BNO20" s="29"/>
      <c r="BNP20" s="29"/>
      <c r="BNQ20" s="136"/>
      <c r="BNR20" s="29"/>
      <c r="BNS20" s="29"/>
      <c r="BNT20" s="29"/>
      <c r="BNU20" s="29"/>
      <c r="BNV20" s="29"/>
      <c r="BNW20" s="75"/>
      <c r="BNX20" s="29"/>
      <c r="BNY20" s="29"/>
      <c r="BNZ20" s="29"/>
      <c r="BOA20" s="29"/>
      <c r="BOB20" s="29"/>
      <c r="BOC20" s="30"/>
      <c r="BOD20" s="90"/>
    </row>
    <row r="21" spans="1:1746" ht="20.100000000000001" customHeight="1" x14ac:dyDescent="0.25">
      <c r="A21" s="100" t="s">
        <v>19</v>
      </c>
      <c r="B21" s="63" t="str">
        <f>IF(LEN(C27)=0,"",C27)</f>
        <v>Autre</v>
      </c>
      <c r="C21" s="211" t="s">
        <v>40</v>
      </c>
      <c r="D21" s="146" t="str">
        <f t="shared" si="0"/>
        <v>0h35min</v>
      </c>
      <c r="E21" s="31">
        <v>7</v>
      </c>
      <c r="F21" s="188"/>
      <c r="G21" s="185"/>
      <c r="H21" s="185"/>
      <c r="I21" s="185"/>
      <c r="J21" s="183"/>
      <c r="K21" s="187"/>
      <c r="L21" s="18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32"/>
      <c r="BJO21" s="64"/>
      <c r="BJP21" s="64"/>
      <c r="BJQ21" s="64"/>
      <c r="BJR21" s="33"/>
      <c r="BJS21" s="132"/>
      <c r="BJT21" s="33"/>
      <c r="BJU21" s="33"/>
      <c r="BJV21" s="33"/>
      <c r="BJW21" s="33"/>
      <c r="BJX21" s="33"/>
      <c r="BJY21" s="137"/>
      <c r="BJZ21" s="33"/>
      <c r="BKA21" s="33"/>
      <c r="BKB21" s="33"/>
      <c r="BKC21" s="33"/>
      <c r="BKD21" s="33"/>
      <c r="BKE21" s="74"/>
      <c r="BKF21" s="33"/>
      <c r="BKG21" s="33"/>
      <c r="BKH21" s="33"/>
      <c r="BKI21" s="33"/>
      <c r="BKJ21" s="33"/>
      <c r="BKK21" s="137"/>
      <c r="BKL21" s="33"/>
      <c r="BKM21" s="33"/>
      <c r="BKN21" s="33"/>
      <c r="BKO21" s="33"/>
      <c r="BKP21" s="33"/>
      <c r="BKQ21" s="74"/>
      <c r="BKR21" s="64"/>
      <c r="BKS21" s="64"/>
      <c r="BKT21" s="64"/>
      <c r="BKU21" s="64"/>
      <c r="BKV21" s="33"/>
      <c r="BKW21" s="137"/>
      <c r="BKX21" s="33"/>
      <c r="BKY21" s="33"/>
      <c r="BKZ21" s="33"/>
      <c r="BLA21" s="33"/>
      <c r="BLB21" s="33"/>
      <c r="BLC21" s="74"/>
      <c r="BLD21" s="33"/>
      <c r="BLE21" s="33"/>
      <c r="BLF21" s="33"/>
      <c r="BLG21" s="33"/>
      <c r="BLH21" s="33"/>
      <c r="BLI21" s="137"/>
      <c r="BLJ21" s="33"/>
      <c r="BLK21" s="33"/>
      <c r="BLL21" s="33"/>
      <c r="BLM21" s="33"/>
      <c r="BLN21" s="33"/>
      <c r="BLO21" s="74"/>
      <c r="BLP21" s="33"/>
      <c r="BLQ21" s="33"/>
      <c r="BLR21" s="33"/>
      <c r="BLS21" s="33"/>
      <c r="BLT21" s="33"/>
      <c r="BLU21" s="34"/>
      <c r="BLV21" s="32"/>
      <c r="BLW21" s="64"/>
      <c r="BLX21" s="64"/>
      <c r="BLY21" s="64"/>
      <c r="BLZ21" s="33"/>
      <c r="BMA21" s="132"/>
      <c r="BMB21" s="33"/>
      <c r="BMC21" s="33"/>
      <c r="BMD21" s="33"/>
      <c r="BME21" s="33"/>
      <c r="BMF21" s="33"/>
      <c r="BMG21" s="137"/>
      <c r="BMH21" s="33"/>
      <c r="BMI21" s="33"/>
      <c r="BMJ21" s="33"/>
      <c r="BMK21" s="33"/>
      <c r="BML21" s="33"/>
      <c r="BMM21" s="74"/>
      <c r="BMN21" s="33"/>
      <c r="BMO21" s="33"/>
      <c r="BMP21" s="33"/>
      <c r="BMQ21" s="33"/>
      <c r="BMR21" s="33"/>
      <c r="BMS21" s="137"/>
      <c r="BMT21" s="33"/>
      <c r="BMU21" s="33"/>
      <c r="BMV21" s="33"/>
      <c r="BMW21" s="33"/>
      <c r="BMX21" s="33"/>
      <c r="BMY21" s="74"/>
      <c r="BMZ21" s="64"/>
      <c r="BNA21" s="64"/>
      <c r="BNB21" s="64"/>
      <c r="BNC21" s="64"/>
      <c r="BND21" s="33"/>
      <c r="BNE21" s="137"/>
      <c r="BNF21" s="33"/>
      <c r="BNG21" s="33"/>
      <c r="BNH21" s="33"/>
      <c r="BNI21" s="33"/>
      <c r="BNJ21" s="33"/>
      <c r="BNK21" s="74"/>
      <c r="BNL21" s="33"/>
      <c r="BNM21" s="33"/>
      <c r="BNN21" s="33"/>
      <c r="BNO21" s="33"/>
      <c r="BNP21" s="33"/>
      <c r="BNQ21" s="137"/>
      <c r="BNR21" s="33"/>
      <c r="BNS21" s="33"/>
      <c r="BNT21" s="33"/>
      <c r="BNU21" s="33"/>
      <c r="BNV21" s="33"/>
      <c r="BNW21" s="74"/>
      <c r="BNX21" s="33"/>
      <c r="BNY21" s="33"/>
      <c r="BNZ21" s="33"/>
      <c r="BOA21" s="33"/>
      <c r="BOB21" s="33"/>
      <c r="BOC21" s="34"/>
      <c r="BOD21" s="90"/>
    </row>
    <row r="22" spans="1:1746" ht="20.100000000000001" customHeight="1" x14ac:dyDescent="0.25">
      <c r="A22" s="100" t="s">
        <v>20</v>
      </c>
      <c r="B22" s="63" t="str">
        <f>IF(LEN(C29)=0,"",C29)</f>
        <v>Informer - Recherche des thème et compétences demandées</v>
      </c>
      <c r="C22" s="213"/>
      <c r="D22" s="147" t="str">
        <f t="shared" si="0"/>
        <v>0h55min</v>
      </c>
      <c r="E22" s="35">
        <v>11</v>
      </c>
      <c r="F22" s="165"/>
      <c r="G22" s="166"/>
      <c r="H22" s="166"/>
      <c r="I22" s="166"/>
      <c r="J22" s="167"/>
      <c r="K22" s="168"/>
      <c r="L22" s="16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16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167"/>
      <c r="GT22" s="167"/>
      <c r="GU22" s="1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36"/>
      <c r="BJO22" s="65"/>
      <c r="BJP22" s="65"/>
      <c r="BJQ22" s="65"/>
      <c r="BJR22" s="37"/>
      <c r="BJS22" s="133"/>
      <c r="BJT22" s="37"/>
      <c r="BJU22" s="37"/>
      <c r="BJV22" s="37"/>
      <c r="BJW22" s="37"/>
      <c r="BJX22" s="37"/>
      <c r="BJY22" s="138"/>
      <c r="BJZ22" s="37"/>
      <c r="BKA22" s="37"/>
      <c r="BKB22" s="37"/>
      <c r="BKC22" s="37"/>
      <c r="BKD22" s="37"/>
      <c r="BKE22" s="75"/>
      <c r="BKF22" s="37"/>
      <c r="BKG22" s="37"/>
      <c r="BKH22" s="37"/>
      <c r="BKI22" s="37"/>
      <c r="BKJ22" s="37"/>
      <c r="BKK22" s="138"/>
      <c r="BKL22" s="37"/>
      <c r="BKM22" s="37"/>
      <c r="BKN22" s="37"/>
      <c r="BKO22" s="37"/>
      <c r="BKP22" s="37"/>
      <c r="BKQ22" s="75"/>
      <c r="BKR22" s="65"/>
      <c r="BKS22" s="65"/>
      <c r="BKT22" s="65"/>
      <c r="BKU22" s="65"/>
      <c r="BKV22" s="37"/>
      <c r="BKW22" s="138"/>
      <c r="BKX22" s="37"/>
      <c r="BKY22" s="37"/>
      <c r="BKZ22" s="37"/>
      <c r="BLA22" s="37"/>
      <c r="BLB22" s="37"/>
      <c r="BLC22" s="75"/>
      <c r="BLD22" s="37"/>
      <c r="BLE22" s="37"/>
      <c r="BLF22" s="37"/>
      <c r="BLG22" s="37"/>
      <c r="BLH22" s="37"/>
      <c r="BLI22" s="138"/>
      <c r="BLJ22" s="37"/>
      <c r="BLK22" s="37"/>
      <c r="BLL22" s="37"/>
      <c r="BLM22" s="37"/>
      <c r="BLN22" s="37"/>
      <c r="BLO22" s="75"/>
      <c r="BLP22" s="37"/>
      <c r="BLQ22" s="37"/>
      <c r="BLR22" s="37"/>
      <c r="BLS22" s="37"/>
      <c r="BLT22" s="37"/>
      <c r="BLU22" s="38"/>
      <c r="BLV22" s="36"/>
      <c r="BLW22" s="65"/>
      <c r="BLX22" s="65"/>
      <c r="BLY22" s="65"/>
      <c r="BLZ22" s="37"/>
      <c r="BMA22" s="133"/>
      <c r="BMB22" s="37"/>
      <c r="BMC22" s="37"/>
      <c r="BMD22" s="37"/>
      <c r="BME22" s="37"/>
      <c r="BMF22" s="37"/>
      <c r="BMG22" s="138"/>
      <c r="BMH22" s="37"/>
      <c r="BMI22" s="37"/>
      <c r="BMJ22" s="37"/>
      <c r="BMK22" s="37"/>
      <c r="BML22" s="37"/>
      <c r="BMM22" s="75"/>
      <c r="BMN22" s="37"/>
      <c r="BMO22" s="37"/>
      <c r="BMP22" s="37"/>
      <c r="BMQ22" s="37"/>
      <c r="BMR22" s="37"/>
      <c r="BMS22" s="138"/>
      <c r="BMT22" s="37"/>
      <c r="BMU22" s="37"/>
      <c r="BMV22" s="37"/>
      <c r="BMW22" s="37"/>
      <c r="BMX22" s="37"/>
      <c r="BMY22" s="75"/>
      <c r="BMZ22" s="65"/>
      <c r="BNA22" s="65"/>
      <c r="BNB22" s="65"/>
      <c r="BNC22" s="65"/>
      <c r="BND22" s="37"/>
      <c r="BNE22" s="138"/>
      <c r="BNF22" s="37"/>
      <c r="BNG22" s="37"/>
      <c r="BNH22" s="37"/>
      <c r="BNI22" s="37"/>
      <c r="BNJ22" s="37"/>
      <c r="BNK22" s="75"/>
      <c r="BNL22" s="37"/>
      <c r="BNM22" s="37"/>
      <c r="BNN22" s="37"/>
      <c r="BNO22" s="37"/>
      <c r="BNP22" s="37"/>
      <c r="BNQ22" s="138"/>
      <c r="BNR22" s="37"/>
      <c r="BNS22" s="37"/>
      <c r="BNT22" s="37"/>
      <c r="BNU22" s="37"/>
      <c r="BNV22" s="37"/>
      <c r="BNW22" s="75"/>
      <c r="BNX22" s="37"/>
      <c r="BNY22" s="37"/>
      <c r="BNZ22" s="37"/>
      <c r="BOA22" s="37"/>
      <c r="BOB22" s="37"/>
      <c r="BOC22" s="38"/>
      <c r="BOD22" s="90"/>
    </row>
    <row r="23" spans="1:1746" ht="20.100000000000001" customHeight="1" x14ac:dyDescent="0.25">
      <c r="A23" s="100" t="s">
        <v>19</v>
      </c>
      <c r="B23" s="63" t="str">
        <f>IF(LEN(C31)=0,"",C31)</f>
        <v>Informer - Recherche des risques et solutions</v>
      </c>
      <c r="C23" s="211" t="s">
        <v>41</v>
      </c>
      <c r="D23" s="146" t="str">
        <f t="shared" si="0"/>
        <v>0h10min</v>
      </c>
      <c r="E23" s="39">
        <v>2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179"/>
      <c r="V23" s="179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39"/>
      <c r="BHR23" s="41"/>
      <c r="BHS23" s="41"/>
      <c r="BHT23" s="41"/>
      <c r="BHU23" s="41"/>
      <c r="BHV23" s="41"/>
      <c r="BHW23" s="76"/>
      <c r="BHX23" s="41"/>
      <c r="BHY23" s="41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40"/>
      <c r="BJO23" s="66"/>
      <c r="BJP23" s="66"/>
      <c r="BJQ23" s="66"/>
      <c r="BJR23" s="41"/>
      <c r="BJS23" s="134"/>
      <c r="BJT23" s="41"/>
      <c r="BJU23" s="41"/>
      <c r="BJV23" s="41"/>
      <c r="BJW23" s="41"/>
      <c r="BJX23" s="41"/>
      <c r="BJY23" s="139"/>
      <c r="BJZ23" s="41"/>
      <c r="BKA23" s="41"/>
      <c r="BKB23" s="41"/>
      <c r="BKC23" s="41"/>
      <c r="BKD23" s="41"/>
      <c r="BKE23" s="76"/>
      <c r="BKF23" s="41"/>
      <c r="BKG23" s="41"/>
      <c r="BKH23" s="41"/>
      <c r="BKI23" s="41"/>
      <c r="BKJ23" s="41"/>
      <c r="BKK23" s="139"/>
      <c r="BKL23" s="41"/>
      <c r="BKM23" s="41"/>
      <c r="BKN23" s="41"/>
      <c r="BKO23" s="41"/>
      <c r="BKP23" s="41"/>
      <c r="BKQ23" s="76"/>
      <c r="BKR23" s="66"/>
      <c r="BKS23" s="66"/>
      <c r="BKT23" s="66"/>
      <c r="BKU23" s="66"/>
      <c r="BKV23" s="41"/>
      <c r="BKW23" s="139"/>
      <c r="BKX23" s="41"/>
      <c r="BKY23" s="41"/>
      <c r="BKZ23" s="41"/>
      <c r="BLA23" s="41"/>
      <c r="BLB23" s="41"/>
      <c r="BLC23" s="76"/>
      <c r="BLD23" s="41"/>
      <c r="BLE23" s="41"/>
      <c r="BLF23" s="41"/>
      <c r="BLG23" s="41"/>
      <c r="BLH23" s="41"/>
      <c r="BLI23" s="139"/>
      <c r="BLJ23" s="41"/>
      <c r="BLK23" s="41"/>
      <c r="BLL23" s="41"/>
      <c r="BLM23" s="41"/>
      <c r="BLN23" s="41"/>
      <c r="BLO23" s="76"/>
      <c r="BLP23" s="41"/>
      <c r="BLQ23" s="41"/>
      <c r="BLR23" s="41"/>
      <c r="BLS23" s="41"/>
      <c r="BLT23" s="41"/>
      <c r="BLU23" s="42"/>
      <c r="BLV23" s="40"/>
      <c r="BLW23" s="66"/>
      <c r="BLX23" s="66"/>
      <c r="BLY23" s="66"/>
      <c r="BLZ23" s="41"/>
      <c r="BMA23" s="134"/>
      <c r="BMB23" s="41"/>
      <c r="BMC23" s="41"/>
      <c r="BMD23" s="41"/>
      <c r="BME23" s="41"/>
      <c r="BMF23" s="41"/>
      <c r="BMG23" s="139"/>
      <c r="BMH23" s="41"/>
      <c r="BMI23" s="41"/>
      <c r="BMJ23" s="41"/>
      <c r="BMK23" s="41"/>
      <c r="BML23" s="41"/>
      <c r="BMM23" s="76"/>
      <c r="BMN23" s="41"/>
      <c r="BMO23" s="41"/>
      <c r="BMP23" s="41"/>
      <c r="BMQ23" s="41"/>
      <c r="BMR23" s="41"/>
      <c r="BMS23" s="139"/>
      <c r="BMT23" s="41"/>
      <c r="BMU23" s="41"/>
      <c r="BMV23" s="41"/>
      <c r="BMW23" s="41"/>
      <c r="BMX23" s="41"/>
      <c r="BMY23" s="76"/>
      <c r="BMZ23" s="66"/>
      <c r="BNA23" s="66"/>
      <c r="BNB23" s="66"/>
      <c r="BNC23" s="66"/>
      <c r="BND23" s="41"/>
      <c r="BNE23" s="139"/>
      <c r="BNF23" s="41"/>
      <c r="BNG23" s="41"/>
      <c r="BNH23" s="41"/>
      <c r="BNI23" s="41"/>
      <c r="BNJ23" s="41"/>
      <c r="BNK23" s="76"/>
      <c r="BNL23" s="41"/>
      <c r="BNM23" s="41"/>
      <c r="BNN23" s="41"/>
      <c r="BNO23" s="41"/>
      <c r="BNP23" s="41"/>
      <c r="BNQ23" s="139"/>
      <c r="BNR23" s="41"/>
      <c r="BNS23" s="41"/>
      <c r="BNT23" s="41"/>
      <c r="BNU23" s="41"/>
      <c r="BNV23" s="41"/>
      <c r="BNW23" s="76"/>
      <c r="BNX23" s="41"/>
      <c r="BNY23" s="41"/>
      <c r="BNZ23" s="41"/>
      <c r="BOA23" s="41"/>
      <c r="BOB23" s="41"/>
      <c r="BOC23" s="42"/>
      <c r="BOD23" s="90"/>
    </row>
    <row r="24" spans="1:1746" ht="20.100000000000001" customHeight="1" x14ac:dyDescent="0.25">
      <c r="A24" s="100" t="s">
        <v>20</v>
      </c>
      <c r="B24" s="63" t="str">
        <f>IF(LEN(C33)=0,"",C33)</f>
        <v>Planifier - Mise en place de la méthode de projet</v>
      </c>
      <c r="C24" s="213"/>
      <c r="D24" s="147" t="str">
        <f t="shared" si="0"/>
        <v>0h10min</v>
      </c>
      <c r="E24" s="27">
        <v>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169"/>
      <c r="V24" s="16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28"/>
      <c r="BJO24" s="67"/>
      <c r="BJP24" s="67"/>
      <c r="BJQ24" s="67"/>
      <c r="BJR24" s="29"/>
      <c r="BJS24" s="131"/>
      <c r="BJT24" s="29"/>
      <c r="BJU24" s="29"/>
      <c r="BJV24" s="29"/>
      <c r="BJW24" s="29"/>
      <c r="BJX24" s="29"/>
      <c r="BJY24" s="136"/>
      <c r="BJZ24" s="29"/>
      <c r="BKA24" s="29"/>
      <c r="BKB24" s="29"/>
      <c r="BKC24" s="29"/>
      <c r="BKD24" s="29"/>
      <c r="BKE24" s="73"/>
      <c r="BKF24" s="29"/>
      <c r="BKG24" s="29"/>
      <c r="BKH24" s="29"/>
      <c r="BKI24" s="29"/>
      <c r="BKJ24" s="29"/>
      <c r="BKK24" s="136"/>
      <c r="BKL24" s="29"/>
      <c r="BKM24" s="29"/>
      <c r="BKN24" s="29"/>
      <c r="BKO24" s="29"/>
      <c r="BKP24" s="29"/>
      <c r="BKQ24" s="73"/>
      <c r="BKR24" s="67"/>
      <c r="BKS24" s="67"/>
      <c r="BKT24" s="67"/>
      <c r="BKU24" s="67"/>
      <c r="BKV24" s="29"/>
      <c r="BKW24" s="136"/>
      <c r="BKX24" s="29"/>
      <c r="BKY24" s="29"/>
      <c r="BKZ24" s="29"/>
      <c r="BLA24" s="29"/>
      <c r="BLB24" s="29"/>
      <c r="BLC24" s="73"/>
      <c r="BLD24" s="29"/>
      <c r="BLE24" s="29"/>
      <c r="BLF24" s="29"/>
      <c r="BLG24" s="29"/>
      <c r="BLH24" s="29"/>
      <c r="BLI24" s="136"/>
      <c r="BLJ24" s="29"/>
      <c r="BLK24" s="29"/>
      <c r="BLL24" s="29"/>
      <c r="BLM24" s="29"/>
      <c r="BLN24" s="29"/>
      <c r="BLO24" s="73"/>
      <c r="BLP24" s="29"/>
      <c r="BLQ24" s="29"/>
      <c r="BLR24" s="29"/>
      <c r="BLS24" s="29"/>
      <c r="BLT24" s="29"/>
      <c r="BLU24" s="30"/>
      <c r="BLV24" s="28"/>
      <c r="BLW24" s="67"/>
      <c r="BLX24" s="67"/>
      <c r="BLY24" s="67"/>
      <c r="BLZ24" s="29"/>
      <c r="BMA24" s="131"/>
      <c r="BMB24" s="29"/>
      <c r="BMC24" s="29"/>
      <c r="BMD24" s="29"/>
      <c r="BME24" s="29"/>
      <c r="BMF24" s="29"/>
      <c r="BMG24" s="136"/>
      <c r="BMH24" s="29"/>
      <c r="BMI24" s="29"/>
      <c r="BMJ24" s="29"/>
      <c r="BMK24" s="29"/>
      <c r="BML24" s="29"/>
      <c r="BMM24" s="73"/>
      <c r="BMN24" s="29"/>
      <c r="BMO24" s="29"/>
      <c r="BMP24" s="29"/>
      <c r="BMQ24" s="29"/>
      <c r="BMR24" s="29"/>
      <c r="BMS24" s="136"/>
      <c r="BMT24" s="29"/>
      <c r="BMU24" s="29"/>
      <c r="BMV24" s="29"/>
      <c r="BMW24" s="29"/>
      <c r="BMX24" s="29"/>
      <c r="BMY24" s="73"/>
      <c r="BMZ24" s="67"/>
      <c r="BNA24" s="67"/>
      <c r="BNB24" s="67"/>
      <c r="BNC24" s="67"/>
      <c r="BND24" s="29"/>
      <c r="BNE24" s="136"/>
      <c r="BNF24" s="29"/>
      <c r="BNG24" s="29"/>
      <c r="BNH24" s="29"/>
      <c r="BNI24" s="29"/>
      <c r="BNJ24" s="29"/>
      <c r="BNK24" s="73"/>
      <c r="BNL24" s="29"/>
      <c r="BNM24" s="29"/>
      <c r="BNN24" s="29"/>
      <c r="BNO24" s="29"/>
      <c r="BNP24" s="29"/>
      <c r="BNQ24" s="136"/>
      <c r="BNR24" s="29"/>
      <c r="BNS24" s="29"/>
      <c r="BNT24" s="29"/>
      <c r="BNU24" s="29"/>
      <c r="BNV24" s="29"/>
      <c r="BNW24" s="73"/>
      <c r="BNX24" s="29"/>
      <c r="BNY24" s="29"/>
      <c r="BNZ24" s="29"/>
      <c r="BOA24" s="29"/>
      <c r="BOB24" s="29"/>
      <c r="BOC24" s="30"/>
      <c r="BOD24" s="90"/>
    </row>
    <row r="25" spans="1:1746" ht="20.100000000000001" customHeight="1" x14ac:dyDescent="0.25">
      <c r="A25" s="100" t="s">
        <v>19</v>
      </c>
      <c r="B25" s="63" t="str">
        <f>IF(LEN(C35)=0,"",C35)</f>
        <v>Planifier - Mise en place des tâches</v>
      </c>
      <c r="C25" s="211" t="s">
        <v>42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32"/>
      <c r="BJO25" s="64"/>
      <c r="BJP25" s="64"/>
      <c r="BJQ25" s="64"/>
      <c r="BJR25" s="33"/>
      <c r="BJS25" s="132"/>
      <c r="BJT25" s="33"/>
      <c r="BJU25" s="33"/>
      <c r="BJV25" s="33"/>
      <c r="BJW25" s="33"/>
      <c r="BJX25" s="33"/>
      <c r="BJY25" s="137"/>
      <c r="BJZ25" s="33"/>
      <c r="BKA25" s="33"/>
      <c r="BKB25" s="33"/>
      <c r="BKC25" s="33"/>
      <c r="BKD25" s="33"/>
      <c r="BKE25" s="74"/>
      <c r="BKF25" s="33"/>
      <c r="BKG25" s="33"/>
      <c r="BKH25" s="33"/>
      <c r="BKI25" s="33"/>
      <c r="BKJ25" s="33"/>
      <c r="BKK25" s="137"/>
      <c r="BKL25" s="33"/>
      <c r="BKM25" s="33"/>
      <c r="BKN25" s="33"/>
      <c r="BKO25" s="33"/>
      <c r="BKP25" s="33"/>
      <c r="BKQ25" s="74"/>
      <c r="BKR25" s="64"/>
      <c r="BKS25" s="64"/>
      <c r="BKT25" s="64"/>
      <c r="BKU25" s="64"/>
      <c r="BKV25" s="33"/>
      <c r="BKW25" s="137"/>
      <c r="BKX25" s="33"/>
      <c r="BKY25" s="33"/>
      <c r="BKZ25" s="33"/>
      <c r="BLA25" s="33"/>
      <c r="BLB25" s="33"/>
      <c r="BLC25" s="74"/>
      <c r="BLD25" s="33"/>
      <c r="BLE25" s="33"/>
      <c r="BLF25" s="33"/>
      <c r="BLG25" s="33"/>
      <c r="BLH25" s="33"/>
      <c r="BLI25" s="137"/>
      <c r="BLJ25" s="33"/>
      <c r="BLK25" s="33"/>
      <c r="BLL25" s="33"/>
      <c r="BLM25" s="33"/>
      <c r="BLN25" s="33"/>
      <c r="BLO25" s="74"/>
      <c r="BLP25" s="33"/>
      <c r="BLQ25" s="33"/>
      <c r="BLR25" s="33"/>
      <c r="BLS25" s="33"/>
      <c r="BLT25" s="33"/>
      <c r="BLU25" s="34"/>
      <c r="BLV25" s="32"/>
      <c r="BLW25" s="64"/>
      <c r="BLX25" s="64"/>
      <c r="BLY25" s="64"/>
      <c r="BLZ25" s="33"/>
      <c r="BMA25" s="132"/>
      <c r="BMB25" s="33"/>
      <c r="BMC25" s="33"/>
      <c r="BMD25" s="33"/>
      <c r="BME25" s="33"/>
      <c r="BMF25" s="33"/>
      <c r="BMG25" s="137"/>
      <c r="BMH25" s="33"/>
      <c r="BMI25" s="33"/>
      <c r="BMJ25" s="33"/>
      <c r="BMK25" s="33"/>
      <c r="BML25" s="33"/>
      <c r="BMM25" s="74"/>
      <c r="BMN25" s="33"/>
      <c r="BMO25" s="33"/>
      <c r="BMP25" s="33"/>
      <c r="BMQ25" s="33"/>
      <c r="BMR25" s="33"/>
      <c r="BMS25" s="137"/>
      <c r="BMT25" s="33"/>
      <c r="BMU25" s="33"/>
      <c r="BMV25" s="33"/>
      <c r="BMW25" s="33"/>
      <c r="BMX25" s="33"/>
      <c r="BMY25" s="74"/>
      <c r="BMZ25" s="64"/>
      <c r="BNA25" s="64"/>
      <c r="BNB25" s="64"/>
      <c r="BNC25" s="64"/>
      <c r="BND25" s="33"/>
      <c r="BNE25" s="137"/>
      <c r="BNF25" s="33"/>
      <c r="BNG25" s="33"/>
      <c r="BNH25" s="33"/>
      <c r="BNI25" s="33"/>
      <c r="BNJ25" s="33"/>
      <c r="BNK25" s="74"/>
      <c r="BNL25" s="33"/>
      <c r="BNM25" s="33"/>
      <c r="BNN25" s="33"/>
      <c r="BNO25" s="33"/>
      <c r="BNP25" s="33"/>
      <c r="BNQ25" s="137"/>
      <c r="BNR25" s="33"/>
      <c r="BNS25" s="33"/>
      <c r="BNT25" s="33"/>
      <c r="BNU25" s="33"/>
      <c r="BNV25" s="33"/>
      <c r="BNW25" s="74"/>
      <c r="BNX25" s="33"/>
      <c r="BNY25" s="33"/>
      <c r="BNZ25" s="33"/>
      <c r="BOA25" s="33"/>
      <c r="BOB25" s="33"/>
      <c r="BOC25" s="34"/>
      <c r="BOD25" s="90"/>
    </row>
    <row r="26" spans="1:1746" ht="20.100000000000001" customHeight="1" x14ac:dyDescent="0.3">
      <c r="A26" s="100" t="s">
        <v>20</v>
      </c>
      <c r="B26" s="63" t="str">
        <f>IF(LEN(C37)=0,"",C37)</f>
        <v>Planifier - Répartition des tâches</v>
      </c>
      <c r="C26" s="213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36"/>
      <c r="BJO26" s="65"/>
      <c r="BJP26" s="65"/>
      <c r="BJQ26" s="65"/>
      <c r="BJR26" s="37"/>
      <c r="BJS26" s="133"/>
      <c r="BJT26" s="37"/>
      <c r="BJU26" s="37"/>
      <c r="BJV26" s="37"/>
      <c r="BJW26" s="37"/>
      <c r="BJX26" s="37"/>
      <c r="BJY26" s="138"/>
      <c r="BJZ26" s="37"/>
      <c r="BKA26" s="37"/>
      <c r="BKB26" s="37"/>
      <c r="BKC26" s="37"/>
      <c r="BKD26" s="37"/>
      <c r="BKE26" s="75"/>
      <c r="BKF26" s="37"/>
      <c r="BKG26" s="37"/>
      <c r="BKH26" s="37"/>
      <c r="BKI26" s="37"/>
      <c r="BKJ26" s="37"/>
      <c r="BKK26" s="138"/>
      <c r="BKL26" s="37"/>
      <c r="BKM26" s="37"/>
      <c r="BKN26" s="37"/>
      <c r="BKO26" s="37"/>
      <c r="BKP26" s="37"/>
      <c r="BKQ26" s="75"/>
      <c r="BKR26" s="65"/>
      <c r="BKS26" s="65"/>
      <c r="BKT26" s="65"/>
      <c r="BKU26" s="65"/>
      <c r="BKV26" s="37"/>
      <c r="BKW26" s="138"/>
      <c r="BKX26" s="37"/>
      <c r="BKY26" s="37"/>
      <c r="BKZ26" s="37"/>
      <c r="BLA26" s="37"/>
      <c r="BLB26" s="37"/>
      <c r="BLC26" s="75"/>
      <c r="BLD26" s="37"/>
      <c r="BLE26" s="37"/>
      <c r="BLF26" s="37"/>
      <c r="BLG26" s="37"/>
      <c r="BLH26" s="37"/>
      <c r="BLI26" s="138"/>
      <c r="BLJ26" s="37"/>
      <c r="BLK26" s="37"/>
      <c r="BLL26" s="37"/>
      <c r="BLM26" s="37"/>
      <c r="BLN26" s="37"/>
      <c r="BLO26" s="75"/>
      <c r="BLP26" s="37"/>
      <c r="BLQ26" s="37"/>
      <c r="BLR26" s="37"/>
      <c r="BLS26" s="37"/>
      <c r="BLT26" s="37"/>
      <c r="BLU26" s="38"/>
      <c r="BLV26" s="36"/>
      <c r="BLW26" s="65"/>
      <c r="BLX26" s="65"/>
      <c r="BLY26" s="65"/>
      <c r="BLZ26" s="37"/>
      <c r="BMA26" s="133"/>
      <c r="BMB26" s="37"/>
      <c r="BMC26" s="37"/>
      <c r="BMD26" s="37"/>
      <c r="BME26" s="37"/>
      <c r="BMF26" s="37"/>
      <c r="BMG26" s="138"/>
      <c r="BMH26" s="37"/>
      <c r="BMI26" s="37"/>
      <c r="BMJ26" s="37"/>
      <c r="BMK26" s="37"/>
      <c r="BML26" s="37"/>
      <c r="BMM26" s="75"/>
      <c r="BMN26" s="37"/>
      <c r="BMO26" s="37"/>
      <c r="BMP26" s="37"/>
      <c r="BMQ26" s="37"/>
      <c r="BMR26" s="37"/>
      <c r="BMS26" s="138"/>
      <c r="BMT26" s="37"/>
      <c r="BMU26" s="37"/>
      <c r="BMV26" s="37"/>
      <c r="BMW26" s="37"/>
      <c r="BMX26" s="37"/>
      <c r="BMY26" s="75"/>
      <c r="BMZ26" s="65"/>
      <c r="BNA26" s="65"/>
      <c r="BNB26" s="65"/>
      <c r="BNC26" s="65"/>
      <c r="BND26" s="37"/>
      <c r="BNE26" s="138"/>
      <c r="BNF26" s="37"/>
      <c r="BNG26" s="37"/>
      <c r="BNH26" s="37"/>
      <c r="BNI26" s="37"/>
      <c r="BNJ26" s="37"/>
      <c r="BNK26" s="75"/>
      <c r="BNL26" s="37"/>
      <c r="BNM26" s="37"/>
      <c r="BNN26" s="37"/>
      <c r="BNO26" s="37"/>
      <c r="BNP26" s="37"/>
      <c r="BNQ26" s="138"/>
      <c r="BNR26" s="37"/>
      <c r="BNS26" s="37"/>
      <c r="BNT26" s="37"/>
      <c r="BNU26" s="37"/>
      <c r="BNV26" s="37"/>
      <c r="BNW26" s="75"/>
      <c r="BNX26" s="37"/>
      <c r="BNY26" s="37"/>
      <c r="BNZ26" s="37"/>
      <c r="BOA26" s="37"/>
      <c r="BOB26" s="37"/>
      <c r="BOC26" s="38"/>
      <c r="BOD26" s="90"/>
    </row>
    <row r="27" spans="1:1746" ht="20.100000000000001" customHeight="1" x14ac:dyDescent="0.25">
      <c r="A27" s="100" t="s">
        <v>19</v>
      </c>
      <c r="B27" s="63" t="str">
        <f>IF(LEN(C39)=0,"",C39)</f>
        <v>Décider - UseCase Diagram</v>
      </c>
      <c r="C27" s="211" t="s">
        <v>117</v>
      </c>
      <c r="D27" s="146" t="str">
        <f t="shared" si="0"/>
        <v>3h10min</v>
      </c>
      <c r="E27" s="39">
        <v>38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177"/>
      <c r="BHG27" s="178"/>
      <c r="BHH27" s="178"/>
      <c r="BHI27" s="178"/>
      <c r="BHJ27" s="179"/>
      <c r="BHK27" s="180"/>
      <c r="BHL27" s="179"/>
      <c r="BHM27" s="179"/>
      <c r="BHN27" s="179"/>
      <c r="BHO27" s="179"/>
      <c r="BHP27" s="179"/>
      <c r="BHQ27" s="181"/>
      <c r="BHR27" s="179"/>
      <c r="BHS27" s="179"/>
      <c r="BHT27" s="179"/>
      <c r="BHU27" s="179"/>
      <c r="BHV27" s="179"/>
      <c r="BHW27" s="182"/>
      <c r="BHX27" s="179"/>
      <c r="BHY27" s="179"/>
      <c r="BHZ27" s="179"/>
      <c r="BIA27" s="179"/>
      <c r="BIB27" s="179"/>
      <c r="BIC27" s="181"/>
      <c r="BID27" s="179"/>
      <c r="BIE27" s="179"/>
      <c r="BIF27" s="179"/>
      <c r="BIG27" s="179"/>
      <c r="BIH27" s="179"/>
      <c r="BII27" s="182"/>
      <c r="BIJ27" s="178"/>
      <c r="BIK27" s="178"/>
      <c r="BIL27" s="178"/>
      <c r="BIM27" s="178"/>
      <c r="BIN27" s="179"/>
      <c r="BIO27" s="181"/>
      <c r="BIP27" s="179"/>
      <c r="BIQ27" s="179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40"/>
      <c r="BJO27" s="66"/>
      <c r="BJP27" s="66"/>
      <c r="BJQ27" s="66"/>
      <c r="BJR27" s="41"/>
      <c r="BJS27" s="134"/>
      <c r="BJT27" s="41"/>
      <c r="BJU27" s="41"/>
      <c r="BJV27" s="41"/>
      <c r="BJW27" s="41"/>
      <c r="BJX27" s="41"/>
      <c r="BJY27" s="139"/>
      <c r="BJZ27" s="41"/>
      <c r="BKA27" s="41"/>
      <c r="BKB27" s="41"/>
      <c r="BKC27" s="41"/>
      <c r="BKD27" s="41"/>
      <c r="BKE27" s="76"/>
      <c r="BKF27" s="41"/>
      <c r="BKG27" s="41"/>
      <c r="BKH27" s="41"/>
      <c r="BKI27" s="41"/>
      <c r="BKJ27" s="41"/>
      <c r="BKK27" s="139"/>
      <c r="BKL27" s="41"/>
      <c r="BKM27" s="41"/>
      <c r="BKN27" s="41"/>
      <c r="BKO27" s="41"/>
      <c r="BKP27" s="41"/>
      <c r="BKQ27" s="76"/>
      <c r="BKR27" s="66"/>
      <c r="BKS27" s="66"/>
      <c r="BKT27" s="66"/>
      <c r="BKU27" s="66"/>
      <c r="BKV27" s="41"/>
      <c r="BKW27" s="139"/>
      <c r="BKX27" s="41"/>
      <c r="BKY27" s="41"/>
      <c r="BKZ27" s="41"/>
      <c r="BLA27" s="41"/>
      <c r="BLB27" s="41"/>
      <c r="BLC27" s="76"/>
      <c r="BLD27" s="41"/>
      <c r="BLE27" s="41"/>
      <c r="BLF27" s="41"/>
      <c r="BLG27" s="41"/>
      <c r="BLH27" s="41"/>
      <c r="BLI27" s="139"/>
      <c r="BLJ27" s="41"/>
      <c r="BLK27" s="41"/>
      <c r="BLL27" s="41"/>
      <c r="BLM27" s="41"/>
      <c r="BLN27" s="41"/>
      <c r="BLO27" s="76"/>
      <c r="BLP27" s="41"/>
      <c r="BLQ27" s="41"/>
      <c r="BLR27" s="41"/>
      <c r="BLS27" s="41"/>
      <c r="BLT27" s="41"/>
      <c r="BLU27" s="42"/>
      <c r="BLV27" s="40"/>
      <c r="BLW27" s="66"/>
      <c r="BLX27" s="66"/>
      <c r="BLY27" s="66"/>
      <c r="BLZ27" s="41"/>
      <c r="BMA27" s="134"/>
      <c r="BMB27" s="41"/>
      <c r="BMC27" s="41"/>
      <c r="BMD27" s="41"/>
      <c r="BME27" s="41"/>
      <c r="BMF27" s="41"/>
      <c r="BMG27" s="139"/>
      <c r="BMH27" s="41"/>
      <c r="BMI27" s="41"/>
      <c r="BMJ27" s="41"/>
      <c r="BMK27" s="41"/>
      <c r="BML27" s="41"/>
      <c r="BMM27" s="76"/>
      <c r="BMN27" s="41"/>
      <c r="BMO27" s="41"/>
      <c r="BMP27" s="41"/>
      <c r="BMQ27" s="41"/>
      <c r="BMR27" s="41"/>
      <c r="BMS27" s="139"/>
      <c r="BMT27" s="41"/>
      <c r="BMU27" s="41"/>
      <c r="BMV27" s="41"/>
      <c r="BMW27" s="41"/>
      <c r="BMX27" s="41"/>
      <c r="BMY27" s="76"/>
      <c r="BMZ27" s="66"/>
      <c r="BNA27" s="66"/>
      <c r="BNB27" s="66"/>
      <c r="BNC27" s="66"/>
      <c r="BND27" s="41"/>
      <c r="BNE27" s="139"/>
      <c r="BNF27" s="41"/>
      <c r="BNG27" s="41"/>
      <c r="BNH27" s="41"/>
      <c r="BNI27" s="41"/>
      <c r="BNJ27" s="41"/>
      <c r="BNK27" s="76"/>
      <c r="BNL27" s="41"/>
      <c r="BNM27" s="41"/>
      <c r="BNN27" s="41"/>
      <c r="BNO27" s="41"/>
      <c r="BNP27" s="41"/>
      <c r="BNQ27" s="139"/>
      <c r="BNR27" s="41"/>
      <c r="BNS27" s="41"/>
      <c r="BNT27" s="41"/>
      <c r="BNU27" s="41"/>
      <c r="BNV27" s="41"/>
      <c r="BNW27" s="76"/>
      <c r="BNX27" s="41"/>
      <c r="BNY27" s="41"/>
      <c r="BNZ27" s="41"/>
      <c r="BOA27" s="41"/>
      <c r="BOB27" s="41"/>
      <c r="BOC27" s="42"/>
      <c r="BOD27" s="90"/>
    </row>
    <row r="28" spans="1:1746" ht="20.100000000000001" customHeight="1" x14ac:dyDescent="0.3">
      <c r="A28" s="100" t="s">
        <v>20</v>
      </c>
      <c r="B28" s="63" t="str">
        <f>IF(LEN(C41)=0,"",C41)</f>
        <v>Décider - Stratégie de test</v>
      </c>
      <c r="C28" s="213"/>
      <c r="D28" s="148" t="str">
        <f t="shared" si="0"/>
        <v>0h30min</v>
      </c>
      <c r="E28" s="27">
        <v>6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169"/>
      <c r="CJ28" s="169"/>
      <c r="CK28" s="173"/>
      <c r="CL28" s="169"/>
      <c r="CM28" s="16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16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28"/>
      <c r="BJO28" s="67"/>
      <c r="BJP28" s="67"/>
      <c r="BJQ28" s="67"/>
      <c r="BJR28" s="29"/>
      <c r="BJS28" s="131"/>
      <c r="BJT28" s="29"/>
      <c r="BJU28" s="29"/>
      <c r="BJV28" s="29"/>
      <c r="BJW28" s="29"/>
      <c r="BJX28" s="29"/>
      <c r="BJY28" s="136"/>
      <c r="BJZ28" s="29"/>
      <c r="BKA28" s="29"/>
      <c r="BKB28" s="29"/>
      <c r="BKC28" s="29"/>
      <c r="BKD28" s="29"/>
      <c r="BKE28" s="73"/>
      <c r="BKF28" s="29"/>
      <c r="BKG28" s="29"/>
      <c r="BKH28" s="29"/>
      <c r="BKI28" s="29"/>
      <c r="BKJ28" s="29"/>
      <c r="BKK28" s="136"/>
      <c r="BKL28" s="29"/>
      <c r="BKM28" s="29"/>
      <c r="BKN28" s="29"/>
      <c r="BKO28" s="29"/>
      <c r="BKP28" s="29"/>
      <c r="BKQ28" s="73"/>
      <c r="BKR28" s="67"/>
      <c r="BKS28" s="67"/>
      <c r="BKT28" s="67"/>
      <c r="BKU28" s="67"/>
      <c r="BKV28" s="29"/>
      <c r="BKW28" s="136"/>
      <c r="BKX28" s="29"/>
      <c r="BKY28" s="29"/>
      <c r="BKZ28" s="29"/>
      <c r="BLA28" s="29"/>
      <c r="BLB28" s="29"/>
      <c r="BLC28" s="73"/>
      <c r="BLD28" s="29"/>
      <c r="BLE28" s="29"/>
      <c r="BLF28" s="29"/>
      <c r="BLG28" s="29"/>
      <c r="BLH28" s="29"/>
      <c r="BLI28" s="136"/>
      <c r="BLJ28" s="29"/>
      <c r="BLK28" s="29"/>
      <c r="BLL28" s="29"/>
      <c r="BLM28" s="29"/>
      <c r="BLN28" s="29"/>
      <c r="BLO28" s="73"/>
      <c r="BLP28" s="29"/>
      <c r="BLQ28" s="29"/>
      <c r="BLR28" s="29"/>
      <c r="BLS28" s="29"/>
      <c r="BLT28" s="29"/>
      <c r="BLU28" s="30"/>
      <c r="BLV28" s="28"/>
      <c r="BLW28" s="67"/>
      <c r="BLX28" s="67"/>
      <c r="BLY28" s="67"/>
      <c r="BLZ28" s="29"/>
      <c r="BMA28" s="131"/>
      <c r="BMB28" s="29"/>
      <c r="BMC28" s="29"/>
      <c r="BMD28" s="29"/>
      <c r="BME28" s="29"/>
      <c r="BMF28" s="29"/>
      <c r="BMG28" s="136"/>
      <c r="BMH28" s="29"/>
      <c r="BMI28" s="29"/>
      <c r="BMJ28" s="29"/>
      <c r="BMK28" s="29"/>
      <c r="BML28" s="29"/>
      <c r="BMM28" s="73"/>
      <c r="BMN28" s="29"/>
      <c r="BMO28" s="29"/>
      <c r="BMP28" s="29"/>
      <c r="BMQ28" s="29"/>
      <c r="BMR28" s="29"/>
      <c r="BMS28" s="136"/>
      <c r="BMT28" s="29"/>
      <c r="BMU28" s="29"/>
      <c r="BMV28" s="29"/>
      <c r="BMW28" s="29"/>
      <c r="BMX28" s="29"/>
      <c r="BMY28" s="73"/>
      <c r="BMZ28" s="67"/>
      <c r="BNA28" s="67"/>
      <c r="BNB28" s="67"/>
      <c r="BNC28" s="67"/>
      <c r="BND28" s="29"/>
      <c r="BNE28" s="136"/>
      <c r="BNF28" s="29"/>
      <c r="BNG28" s="29"/>
      <c r="BNH28" s="29"/>
      <c r="BNI28" s="29"/>
      <c r="BNJ28" s="29"/>
      <c r="BNK28" s="73"/>
      <c r="BNL28" s="29"/>
      <c r="BNM28" s="29"/>
      <c r="BNN28" s="29"/>
      <c r="BNO28" s="29"/>
      <c r="BNP28" s="29"/>
      <c r="BNQ28" s="136"/>
      <c r="BNR28" s="29"/>
      <c r="BNS28" s="29"/>
      <c r="BNT28" s="29"/>
      <c r="BNU28" s="29"/>
      <c r="BNV28" s="29"/>
      <c r="BNW28" s="73"/>
      <c r="BNX28" s="29"/>
      <c r="BNY28" s="29"/>
      <c r="BNZ28" s="29"/>
      <c r="BOA28" s="29"/>
      <c r="BOB28" s="29"/>
      <c r="BOC28" s="30"/>
      <c r="BOD28" s="90"/>
    </row>
    <row r="29" spans="1:1746" ht="20.100000000000001" customHeight="1" x14ac:dyDescent="0.25">
      <c r="A29" s="100" t="s">
        <v>19</v>
      </c>
      <c r="B29" s="63" t="str">
        <f>IF(LEN(C43)=0,"",C43)</f>
        <v>Décider - Maquette</v>
      </c>
      <c r="C29" s="211" t="s">
        <v>44</v>
      </c>
      <c r="D29" s="146" t="str">
        <f t="shared" si="0"/>
        <v>0h10min</v>
      </c>
      <c r="E29" s="31">
        <v>2</v>
      </c>
      <c r="F29" s="32"/>
      <c r="G29" s="64"/>
      <c r="H29" s="64"/>
      <c r="I29" s="64"/>
      <c r="J29" s="33"/>
      <c r="K29" s="132"/>
      <c r="L29" s="33"/>
      <c r="M29" s="183"/>
      <c r="N29" s="18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32"/>
      <c r="BJO29" s="64"/>
      <c r="BJP29" s="64"/>
      <c r="BJQ29" s="64"/>
      <c r="BJR29" s="33"/>
      <c r="BJS29" s="132"/>
      <c r="BJT29" s="33"/>
      <c r="BJU29" s="33"/>
      <c r="BJV29" s="33"/>
      <c r="BJW29" s="33"/>
      <c r="BJX29" s="33"/>
      <c r="BJY29" s="137"/>
      <c r="BJZ29" s="33"/>
      <c r="BKA29" s="33"/>
      <c r="BKB29" s="33"/>
      <c r="BKC29" s="33"/>
      <c r="BKD29" s="33"/>
      <c r="BKE29" s="74"/>
      <c r="BKF29" s="33"/>
      <c r="BKG29" s="33"/>
      <c r="BKH29" s="33"/>
      <c r="BKI29" s="33"/>
      <c r="BKJ29" s="33"/>
      <c r="BKK29" s="137"/>
      <c r="BKL29" s="33"/>
      <c r="BKM29" s="33"/>
      <c r="BKN29" s="33"/>
      <c r="BKO29" s="33"/>
      <c r="BKP29" s="33"/>
      <c r="BKQ29" s="74"/>
      <c r="BKR29" s="64"/>
      <c r="BKS29" s="64"/>
      <c r="BKT29" s="64"/>
      <c r="BKU29" s="64"/>
      <c r="BKV29" s="33"/>
      <c r="BKW29" s="137"/>
      <c r="BKX29" s="33"/>
      <c r="BKY29" s="33"/>
      <c r="BKZ29" s="33"/>
      <c r="BLA29" s="33"/>
      <c r="BLB29" s="33"/>
      <c r="BLC29" s="74"/>
      <c r="BLD29" s="33"/>
      <c r="BLE29" s="33"/>
      <c r="BLF29" s="33"/>
      <c r="BLG29" s="33"/>
      <c r="BLH29" s="33"/>
      <c r="BLI29" s="137"/>
      <c r="BLJ29" s="33"/>
      <c r="BLK29" s="33"/>
      <c r="BLL29" s="33"/>
      <c r="BLM29" s="33"/>
      <c r="BLN29" s="33"/>
      <c r="BLO29" s="74"/>
      <c r="BLP29" s="33"/>
      <c r="BLQ29" s="33"/>
      <c r="BLR29" s="33"/>
      <c r="BLS29" s="33"/>
      <c r="BLT29" s="33"/>
      <c r="BLU29" s="34"/>
      <c r="BLV29" s="32"/>
      <c r="BLW29" s="64"/>
      <c r="BLX29" s="64"/>
      <c r="BLY29" s="64"/>
      <c r="BLZ29" s="33"/>
      <c r="BMA29" s="132"/>
      <c r="BMB29" s="33"/>
      <c r="BMC29" s="33"/>
      <c r="BMD29" s="33"/>
      <c r="BME29" s="33"/>
      <c r="BMF29" s="33"/>
      <c r="BMG29" s="137"/>
      <c r="BMH29" s="33"/>
      <c r="BMI29" s="33"/>
      <c r="BMJ29" s="33"/>
      <c r="BMK29" s="33"/>
      <c r="BML29" s="33"/>
      <c r="BMM29" s="74"/>
      <c r="BMN29" s="33"/>
      <c r="BMO29" s="33"/>
      <c r="BMP29" s="33"/>
      <c r="BMQ29" s="33"/>
      <c r="BMR29" s="33"/>
      <c r="BMS29" s="137"/>
      <c r="BMT29" s="33"/>
      <c r="BMU29" s="33"/>
      <c r="BMV29" s="33"/>
      <c r="BMW29" s="33"/>
      <c r="BMX29" s="33"/>
      <c r="BMY29" s="74"/>
      <c r="BMZ29" s="64"/>
      <c r="BNA29" s="64"/>
      <c r="BNB29" s="64"/>
      <c r="BNC29" s="64"/>
      <c r="BND29" s="33"/>
      <c r="BNE29" s="137"/>
      <c r="BNF29" s="33"/>
      <c r="BNG29" s="33"/>
      <c r="BNH29" s="33"/>
      <c r="BNI29" s="33"/>
      <c r="BNJ29" s="33"/>
      <c r="BNK29" s="74"/>
      <c r="BNL29" s="33"/>
      <c r="BNM29" s="33"/>
      <c r="BNN29" s="33"/>
      <c r="BNO29" s="33"/>
      <c r="BNP29" s="33"/>
      <c r="BNQ29" s="137"/>
      <c r="BNR29" s="33"/>
      <c r="BNS29" s="33"/>
      <c r="BNT29" s="33"/>
      <c r="BNU29" s="33"/>
      <c r="BNV29" s="33"/>
      <c r="BNW29" s="74"/>
      <c r="BNX29" s="33"/>
      <c r="BNY29" s="33"/>
      <c r="BNZ29" s="33"/>
      <c r="BOA29" s="33"/>
      <c r="BOB29" s="33"/>
      <c r="BOC29" s="34"/>
      <c r="BOD29" s="90"/>
    </row>
    <row r="30" spans="1:1746" ht="20.100000000000001" customHeight="1" x14ac:dyDescent="0.3">
      <c r="A30" s="100" t="s">
        <v>20</v>
      </c>
      <c r="B30" s="63" t="str">
        <f>IF(LEN(C45)=0,"",C45)</f>
        <v>Décider - Activity Diagram</v>
      </c>
      <c r="C30" s="213"/>
      <c r="D30" s="148" t="str">
        <f t="shared" si="0"/>
        <v>0h10min</v>
      </c>
      <c r="E30" s="35">
        <v>2</v>
      </c>
      <c r="F30" s="36"/>
      <c r="G30" s="65"/>
      <c r="H30" s="65"/>
      <c r="I30" s="65"/>
      <c r="J30" s="37"/>
      <c r="K30" s="133"/>
      <c r="L30" s="37"/>
      <c r="M30" s="167"/>
      <c r="N30" s="16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36"/>
      <c r="BJO30" s="65"/>
      <c r="BJP30" s="65"/>
      <c r="BJQ30" s="65"/>
      <c r="BJR30" s="37"/>
      <c r="BJS30" s="133"/>
      <c r="BJT30" s="37"/>
      <c r="BJU30" s="37"/>
      <c r="BJV30" s="37"/>
      <c r="BJW30" s="37"/>
      <c r="BJX30" s="37"/>
      <c r="BJY30" s="138"/>
      <c r="BJZ30" s="37"/>
      <c r="BKA30" s="37"/>
      <c r="BKB30" s="37"/>
      <c r="BKC30" s="37"/>
      <c r="BKD30" s="37"/>
      <c r="BKE30" s="75"/>
      <c r="BKF30" s="37"/>
      <c r="BKG30" s="37"/>
      <c r="BKH30" s="37"/>
      <c r="BKI30" s="37"/>
      <c r="BKJ30" s="37"/>
      <c r="BKK30" s="138"/>
      <c r="BKL30" s="37"/>
      <c r="BKM30" s="37"/>
      <c r="BKN30" s="37"/>
      <c r="BKO30" s="37"/>
      <c r="BKP30" s="37"/>
      <c r="BKQ30" s="75"/>
      <c r="BKR30" s="65"/>
      <c r="BKS30" s="65"/>
      <c r="BKT30" s="65"/>
      <c r="BKU30" s="65"/>
      <c r="BKV30" s="37"/>
      <c r="BKW30" s="138"/>
      <c r="BKX30" s="37"/>
      <c r="BKY30" s="37"/>
      <c r="BKZ30" s="37"/>
      <c r="BLA30" s="37"/>
      <c r="BLB30" s="37"/>
      <c r="BLC30" s="75"/>
      <c r="BLD30" s="37"/>
      <c r="BLE30" s="37"/>
      <c r="BLF30" s="37"/>
      <c r="BLG30" s="37"/>
      <c r="BLH30" s="37"/>
      <c r="BLI30" s="138"/>
      <c r="BLJ30" s="37"/>
      <c r="BLK30" s="37"/>
      <c r="BLL30" s="37"/>
      <c r="BLM30" s="37"/>
      <c r="BLN30" s="37"/>
      <c r="BLO30" s="75"/>
      <c r="BLP30" s="37"/>
      <c r="BLQ30" s="37"/>
      <c r="BLR30" s="37"/>
      <c r="BLS30" s="37"/>
      <c r="BLT30" s="37"/>
      <c r="BLU30" s="38"/>
      <c r="BLV30" s="36"/>
      <c r="BLW30" s="65"/>
      <c r="BLX30" s="65"/>
      <c r="BLY30" s="65"/>
      <c r="BLZ30" s="37"/>
      <c r="BMA30" s="133"/>
      <c r="BMB30" s="37"/>
      <c r="BMC30" s="37"/>
      <c r="BMD30" s="37"/>
      <c r="BME30" s="37"/>
      <c r="BMF30" s="37"/>
      <c r="BMG30" s="138"/>
      <c r="BMH30" s="37"/>
      <c r="BMI30" s="37"/>
      <c r="BMJ30" s="37"/>
      <c r="BMK30" s="37"/>
      <c r="BML30" s="37"/>
      <c r="BMM30" s="75"/>
      <c r="BMN30" s="37"/>
      <c r="BMO30" s="37"/>
      <c r="BMP30" s="37"/>
      <c r="BMQ30" s="37"/>
      <c r="BMR30" s="37"/>
      <c r="BMS30" s="138"/>
      <c r="BMT30" s="37"/>
      <c r="BMU30" s="37"/>
      <c r="BMV30" s="37"/>
      <c r="BMW30" s="37"/>
      <c r="BMX30" s="37"/>
      <c r="BMY30" s="75"/>
      <c r="BMZ30" s="65"/>
      <c r="BNA30" s="65"/>
      <c r="BNB30" s="65"/>
      <c r="BNC30" s="65"/>
      <c r="BND30" s="37"/>
      <c r="BNE30" s="138"/>
      <c r="BNF30" s="37"/>
      <c r="BNG30" s="37"/>
      <c r="BNH30" s="37"/>
      <c r="BNI30" s="37"/>
      <c r="BNJ30" s="37"/>
      <c r="BNK30" s="75"/>
      <c r="BNL30" s="37"/>
      <c r="BNM30" s="37"/>
      <c r="BNN30" s="37"/>
      <c r="BNO30" s="37"/>
      <c r="BNP30" s="37"/>
      <c r="BNQ30" s="138"/>
      <c r="BNR30" s="37"/>
      <c r="BNS30" s="37"/>
      <c r="BNT30" s="37"/>
      <c r="BNU30" s="37"/>
      <c r="BNV30" s="37"/>
      <c r="BNW30" s="75"/>
      <c r="BNX30" s="37"/>
      <c r="BNY30" s="37"/>
      <c r="BNZ30" s="37"/>
      <c r="BOA30" s="37"/>
      <c r="BOB30" s="37"/>
      <c r="BOC30" s="38"/>
      <c r="BOD30" s="90"/>
    </row>
    <row r="31" spans="1:1746" ht="20.100000000000001" customHeight="1" x14ac:dyDescent="0.25">
      <c r="A31" s="100" t="s">
        <v>19</v>
      </c>
      <c r="B31" s="63" t="str">
        <f>IF(LEN(C47)=0,"",C47)</f>
        <v>Décider - Class Diagram</v>
      </c>
      <c r="C31" s="211" t="s">
        <v>45</v>
      </c>
      <c r="D31" s="146" t="str">
        <f t="shared" si="0"/>
        <v>0h10min</v>
      </c>
      <c r="E31" s="39">
        <v>2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182"/>
      <c r="X31" s="179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40"/>
      <c r="BJO31" s="66"/>
      <c r="BJP31" s="66"/>
      <c r="BJQ31" s="66"/>
      <c r="BJR31" s="41"/>
      <c r="BJS31" s="134"/>
      <c r="BJT31" s="41"/>
      <c r="BJU31" s="41"/>
      <c r="BJV31" s="41"/>
      <c r="BJW31" s="41"/>
      <c r="BJX31" s="41"/>
      <c r="BJY31" s="139"/>
      <c r="BJZ31" s="41"/>
      <c r="BKA31" s="41"/>
      <c r="BKB31" s="41"/>
      <c r="BKC31" s="41"/>
      <c r="BKD31" s="41"/>
      <c r="BKE31" s="76"/>
      <c r="BKF31" s="41"/>
      <c r="BKG31" s="41"/>
      <c r="BKH31" s="41"/>
      <c r="BKI31" s="41"/>
      <c r="BKJ31" s="41"/>
      <c r="BKK31" s="139"/>
      <c r="BKL31" s="41"/>
      <c r="BKM31" s="41"/>
      <c r="BKN31" s="41"/>
      <c r="BKO31" s="41"/>
      <c r="BKP31" s="41"/>
      <c r="BKQ31" s="76"/>
      <c r="BKR31" s="66"/>
      <c r="BKS31" s="66"/>
      <c r="BKT31" s="66"/>
      <c r="BKU31" s="66"/>
      <c r="BKV31" s="41"/>
      <c r="BKW31" s="139"/>
      <c r="BKX31" s="41"/>
      <c r="BKY31" s="41"/>
      <c r="BKZ31" s="41"/>
      <c r="BLA31" s="41"/>
      <c r="BLB31" s="41"/>
      <c r="BLC31" s="76"/>
      <c r="BLD31" s="41"/>
      <c r="BLE31" s="41"/>
      <c r="BLF31" s="41"/>
      <c r="BLG31" s="41"/>
      <c r="BLH31" s="41"/>
      <c r="BLI31" s="139"/>
      <c r="BLJ31" s="41"/>
      <c r="BLK31" s="41"/>
      <c r="BLL31" s="41"/>
      <c r="BLM31" s="41"/>
      <c r="BLN31" s="41"/>
      <c r="BLO31" s="76"/>
      <c r="BLP31" s="41"/>
      <c r="BLQ31" s="41"/>
      <c r="BLR31" s="41"/>
      <c r="BLS31" s="41"/>
      <c r="BLT31" s="41"/>
      <c r="BLU31" s="42"/>
      <c r="BLV31" s="40"/>
      <c r="BLW31" s="66"/>
      <c r="BLX31" s="66"/>
      <c r="BLY31" s="66"/>
      <c r="BLZ31" s="41"/>
      <c r="BMA31" s="134"/>
      <c r="BMB31" s="41"/>
      <c r="BMC31" s="41"/>
      <c r="BMD31" s="41"/>
      <c r="BME31" s="41"/>
      <c r="BMF31" s="41"/>
      <c r="BMG31" s="139"/>
      <c r="BMH31" s="41"/>
      <c r="BMI31" s="41"/>
      <c r="BMJ31" s="41"/>
      <c r="BMK31" s="41"/>
      <c r="BML31" s="41"/>
      <c r="BMM31" s="76"/>
      <c r="BMN31" s="41"/>
      <c r="BMO31" s="41"/>
      <c r="BMP31" s="41"/>
      <c r="BMQ31" s="41"/>
      <c r="BMR31" s="41"/>
      <c r="BMS31" s="139"/>
      <c r="BMT31" s="41"/>
      <c r="BMU31" s="41"/>
      <c r="BMV31" s="41"/>
      <c r="BMW31" s="41"/>
      <c r="BMX31" s="41"/>
      <c r="BMY31" s="76"/>
      <c r="BMZ31" s="66"/>
      <c r="BNA31" s="66"/>
      <c r="BNB31" s="66"/>
      <c r="BNC31" s="66"/>
      <c r="BND31" s="41"/>
      <c r="BNE31" s="139"/>
      <c r="BNF31" s="41"/>
      <c r="BNG31" s="41"/>
      <c r="BNH31" s="41"/>
      <c r="BNI31" s="41"/>
      <c r="BNJ31" s="41"/>
      <c r="BNK31" s="76"/>
      <c r="BNL31" s="41"/>
      <c r="BNM31" s="41"/>
      <c r="BNN31" s="41"/>
      <c r="BNO31" s="41"/>
      <c r="BNP31" s="41"/>
      <c r="BNQ31" s="139"/>
      <c r="BNR31" s="41"/>
      <c r="BNS31" s="41"/>
      <c r="BNT31" s="41"/>
      <c r="BNU31" s="41"/>
      <c r="BNV31" s="41"/>
      <c r="BNW31" s="76"/>
      <c r="BNX31" s="41"/>
      <c r="BNY31" s="41"/>
      <c r="BNZ31" s="41"/>
      <c r="BOA31" s="41"/>
      <c r="BOB31" s="41"/>
      <c r="BOC31" s="42"/>
      <c r="BOD31" s="90"/>
    </row>
    <row r="32" spans="1:1746" ht="20.100000000000001" customHeight="1" x14ac:dyDescent="0.3">
      <c r="A32" s="100" t="s">
        <v>20</v>
      </c>
      <c r="B32" s="63" t="str">
        <f>IF(LEN(C49)=0,"",C49)</f>
        <v>Réaliser - Environnement</v>
      </c>
      <c r="C32" s="212"/>
      <c r="D32" s="148" t="str">
        <f t="shared" si="0"/>
        <v>0h10min</v>
      </c>
      <c r="E32" s="27">
        <v>2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171"/>
      <c r="X32" s="16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28"/>
      <c r="BJO32" s="67"/>
      <c r="BJP32" s="67"/>
      <c r="BJQ32" s="67"/>
      <c r="BJR32" s="29"/>
      <c r="BJS32" s="131"/>
      <c r="BJT32" s="29"/>
      <c r="BJU32" s="29"/>
      <c r="BJV32" s="29"/>
      <c r="BJW32" s="29"/>
      <c r="BJX32" s="29"/>
      <c r="BJY32" s="136"/>
      <c r="BJZ32" s="29"/>
      <c r="BKA32" s="29"/>
      <c r="BKB32" s="29"/>
      <c r="BKC32" s="29"/>
      <c r="BKD32" s="29"/>
      <c r="BKE32" s="73"/>
      <c r="BKF32" s="29"/>
      <c r="BKG32" s="29"/>
      <c r="BKH32" s="29"/>
      <c r="BKI32" s="29"/>
      <c r="BKJ32" s="29"/>
      <c r="BKK32" s="136"/>
      <c r="BKL32" s="29"/>
      <c r="BKM32" s="29"/>
      <c r="BKN32" s="29"/>
      <c r="BKO32" s="29"/>
      <c r="BKP32" s="29"/>
      <c r="BKQ32" s="73"/>
      <c r="BKR32" s="67"/>
      <c r="BKS32" s="67"/>
      <c r="BKT32" s="67"/>
      <c r="BKU32" s="67"/>
      <c r="BKV32" s="29"/>
      <c r="BKW32" s="136"/>
      <c r="BKX32" s="29"/>
      <c r="BKY32" s="29"/>
      <c r="BKZ32" s="29"/>
      <c r="BLA32" s="29"/>
      <c r="BLB32" s="29"/>
      <c r="BLC32" s="73"/>
      <c r="BLD32" s="29"/>
      <c r="BLE32" s="29"/>
      <c r="BLF32" s="29"/>
      <c r="BLG32" s="29"/>
      <c r="BLH32" s="29"/>
      <c r="BLI32" s="136"/>
      <c r="BLJ32" s="29"/>
      <c r="BLK32" s="29"/>
      <c r="BLL32" s="29"/>
      <c r="BLM32" s="29"/>
      <c r="BLN32" s="29"/>
      <c r="BLO32" s="73"/>
      <c r="BLP32" s="29"/>
      <c r="BLQ32" s="29"/>
      <c r="BLR32" s="29"/>
      <c r="BLS32" s="29"/>
      <c r="BLT32" s="29"/>
      <c r="BLU32" s="30"/>
      <c r="BLV32" s="28"/>
      <c r="BLW32" s="67"/>
      <c r="BLX32" s="67"/>
      <c r="BLY32" s="67"/>
      <c r="BLZ32" s="29"/>
      <c r="BMA32" s="131"/>
      <c r="BMB32" s="29"/>
      <c r="BMC32" s="29"/>
      <c r="BMD32" s="29"/>
      <c r="BME32" s="29"/>
      <c r="BMF32" s="29"/>
      <c r="BMG32" s="136"/>
      <c r="BMH32" s="29"/>
      <c r="BMI32" s="29"/>
      <c r="BMJ32" s="29"/>
      <c r="BMK32" s="29"/>
      <c r="BML32" s="29"/>
      <c r="BMM32" s="73"/>
      <c r="BMN32" s="29"/>
      <c r="BMO32" s="29"/>
      <c r="BMP32" s="29"/>
      <c r="BMQ32" s="29"/>
      <c r="BMR32" s="29"/>
      <c r="BMS32" s="136"/>
      <c r="BMT32" s="29"/>
      <c r="BMU32" s="29"/>
      <c r="BMV32" s="29"/>
      <c r="BMW32" s="29"/>
      <c r="BMX32" s="29"/>
      <c r="BMY32" s="73"/>
      <c r="BMZ32" s="67"/>
      <c r="BNA32" s="67"/>
      <c r="BNB32" s="67"/>
      <c r="BNC32" s="67"/>
      <c r="BND32" s="29"/>
      <c r="BNE32" s="136"/>
      <c r="BNF32" s="29"/>
      <c r="BNG32" s="29"/>
      <c r="BNH32" s="29"/>
      <c r="BNI32" s="29"/>
      <c r="BNJ32" s="29"/>
      <c r="BNK32" s="73"/>
      <c r="BNL32" s="29"/>
      <c r="BNM32" s="29"/>
      <c r="BNN32" s="29"/>
      <c r="BNO32" s="29"/>
      <c r="BNP32" s="29"/>
      <c r="BNQ32" s="136"/>
      <c r="BNR32" s="29"/>
      <c r="BNS32" s="29"/>
      <c r="BNT32" s="29"/>
      <c r="BNU32" s="29"/>
      <c r="BNV32" s="29"/>
      <c r="BNW32" s="73"/>
      <c r="BNX32" s="29"/>
      <c r="BNY32" s="29"/>
      <c r="BNZ32" s="29"/>
      <c r="BOA32" s="29"/>
      <c r="BOB32" s="29"/>
      <c r="BOC32" s="30"/>
      <c r="BOD32" s="90"/>
    </row>
    <row r="33" spans="1:1746" ht="20.100000000000001" customHeight="1" x14ac:dyDescent="0.25">
      <c r="A33" s="100" t="s">
        <v>19</v>
      </c>
      <c r="B33" s="63" t="str">
        <f>IF(LEN(C51)=0,"",C51)</f>
        <v>Réaliser - Interface</v>
      </c>
      <c r="C33" s="211" t="s">
        <v>46</v>
      </c>
      <c r="D33" s="146" t="str">
        <f t="shared" si="0"/>
        <v>0h20min</v>
      </c>
      <c r="E33" s="31">
        <v>4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183"/>
      <c r="Z33" s="183"/>
      <c r="AA33" s="183"/>
      <c r="AB33" s="18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32"/>
      <c r="BJO33" s="64"/>
      <c r="BJP33" s="64"/>
      <c r="BJQ33" s="64"/>
      <c r="BJR33" s="33"/>
      <c r="BJS33" s="132"/>
      <c r="BJT33" s="33"/>
      <c r="BJU33" s="33"/>
      <c r="BJV33" s="33"/>
      <c r="BJW33" s="33"/>
      <c r="BJX33" s="33"/>
      <c r="BJY33" s="137"/>
      <c r="BJZ33" s="33"/>
      <c r="BKA33" s="33"/>
      <c r="BKB33" s="33"/>
      <c r="BKC33" s="33"/>
      <c r="BKD33" s="33"/>
      <c r="BKE33" s="74"/>
      <c r="BKF33" s="33"/>
      <c r="BKG33" s="33"/>
      <c r="BKH33" s="33"/>
      <c r="BKI33" s="33"/>
      <c r="BKJ33" s="33"/>
      <c r="BKK33" s="137"/>
      <c r="BKL33" s="33"/>
      <c r="BKM33" s="33"/>
      <c r="BKN33" s="33"/>
      <c r="BKO33" s="33"/>
      <c r="BKP33" s="33"/>
      <c r="BKQ33" s="74"/>
      <c r="BKR33" s="64"/>
      <c r="BKS33" s="64"/>
      <c r="BKT33" s="64"/>
      <c r="BKU33" s="64"/>
      <c r="BKV33" s="33"/>
      <c r="BKW33" s="137"/>
      <c r="BKX33" s="33"/>
      <c r="BKY33" s="33"/>
      <c r="BKZ33" s="33"/>
      <c r="BLA33" s="33"/>
      <c r="BLB33" s="33"/>
      <c r="BLC33" s="74"/>
      <c r="BLD33" s="33"/>
      <c r="BLE33" s="33"/>
      <c r="BLF33" s="33"/>
      <c r="BLG33" s="33"/>
      <c r="BLH33" s="33"/>
      <c r="BLI33" s="137"/>
      <c r="BLJ33" s="33"/>
      <c r="BLK33" s="33"/>
      <c r="BLL33" s="33"/>
      <c r="BLM33" s="33"/>
      <c r="BLN33" s="33"/>
      <c r="BLO33" s="74"/>
      <c r="BLP33" s="33"/>
      <c r="BLQ33" s="33"/>
      <c r="BLR33" s="33"/>
      <c r="BLS33" s="33"/>
      <c r="BLT33" s="33"/>
      <c r="BLU33" s="34"/>
      <c r="BLV33" s="32"/>
      <c r="BLW33" s="64"/>
      <c r="BLX33" s="64"/>
      <c r="BLY33" s="64"/>
      <c r="BLZ33" s="33"/>
      <c r="BMA33" s="132"/>
      <c r="BMB33" s="33"/>
      <c r="BMC33" s="33"/>
      <c r="BMD33" s="33"/>
      <c r="BME33" s="33"/>
      <c r="BMF33" s="33"/>
      <c r="BMG33" s="137"/>
      <c r="BMH33" s="33"/>
      <c r="BMI33" s="33"/>
      <c r="BMJ33" s="33"/>
      <c r="BMK33" s="33"/>
      <c r="BML33" s="33"/>
      <c r="BMM33" s="74"/>
      <c r="BMN33" s="33"/>
      <c r="BMO33" s="33"/>
      <c r="BMP33" s="33"/>
      <c r="BMQ33" s="33"/>
      <c r="BMR33" s="33"/>
      <c r="BMS33" s="137"/>
      <c r="BMT33" s="33"/>
      <c r="BMU33" s="33"/>
      <c r="BMV33" s="33"/>
      <c r="BMW33" s="33"/>
      <c r="BMX33" s="33"/>
      <c r="BMY33" s="74"/>
      <c r="BMZ33" s="64"/>
      <c r="BNA33" s="64"/>
      <c r="BNB33" s="64"/>
      <c r="BNC33" s="64"/>
      <c r="BND33" s="33"/>
      <c r="BNE33" s="137"/>
      <c r="BNF33" s="33"/>
      <c r="BNG33" s="33"/>
      <c r="BNH33" s="33"/>
      <c r="BNI33" s="33"/>
      <c r="BNJ33" s="33"/>
      <c r="BNK33" s="74"/>
      <c r="BNL33" s="33"/>
      <c r="BNM33" s="33"/>
      <c r="BNN33" s="33"/>
      <c r="BNO33" s="33"/>
      <c r="BNP33" s="33"/>
      <c r="BNQ33" s="137"/>
      <c r="BNR33" s="33"/>
      <c r="BNS33" s="33"/>
      <c r="BNT33" s="33"/>
      <c r="BNU33" s="33"/>
      <c r="BNV33" s="33"/>
      <c r="BNW33" s="74"/>
      <c r="BNX33" s="33"/>
      <c r="BNY33" s="33"/>
      <c r="BNZ33" s="33"/>
      <c r="BOA33" s="33"/>
      <c r="BOB33" s="33"/>
      <c r="BOC33" s="34"/>
      <c r="BOD33" s="90"/>
    </row>
    <row r="34" spans="1:1746" ht="20.100000000000001" customHeight="1" x14ac:dyDescent="0.3">
      <c r="A34" s="100" t="s">
        <v>20</v>
      </c>
      <c r="B34" s="63" t="str">
        <f>IF(LEN(C53)=0,"",C53)</f>
        <v>Réaliser - Structure</v>
      </c>
      <c r="C34" s="213"/>
      <c r="D34" s="148" t="str">
        <f t="shared" si="0"/>
        <v>0h20min</v>
      </c>
      <c r="E34" s="35">
        <v>4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167"/>
      <c r="Z34" s="167"/>
      <c r="AA34" s="167"/>
      <c r="AB34" s="16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36"/>
      <c r="BJO34" s="65"/>
      <c r="BJP34" s="65"/>
      <c r="BJQ34" s="65"/>
      <c r="BJR34" s="37"/>
      <c r="BJS34" s="133"/>
      <c r="BJT34" s="37"/>
      <c r="BJU34" s="37"/>
      <c r="BJV34" s="37"/>
      <c r="BJW34" s="37"/>
      <c r="BJX34" s="37"/>
      <c r="BJY34" s="138"/>
      <c r="BJZ34" s="37"/>
      <c r="BKA34" s="37"/>
      <c r="BKB34" s="37"/>
      <c r="BKC34" s="37"/>
      <c r="BKD34" s="37"/>
      <c r="BKE34" s="75"/>
      <c r="BKF34" s="37"/>
      <c r="BKG34" s="37"/>
      <c r="BKH34" s="37"/>
      <c r="BKI34" s="37"/>
      <c r="BKJ34" s="37"/>
      <c r="BKK34" s="138"/>
      <c r="BKL34" s="37"/>
      <c r="BKM34" s="37"/>
      <c r="BKN34" s="37"/>
      <c r="BKO34" s="37"/>
      <c r="BKP34" s="37"/>
      <c r="BKQ34" s="75"/>
      <c r="BKR34" s="65"/>
      <c r="BKS34" s="65"/>
      <c r="BKT34" s="65"/>
      <c r="BKU34" s="65"/>
      <c r="BKV34" s="37"/>
      <c r="BKW34" s="138"/>
      <c r="BKX34" s="37"/>
      <c r="BKY34" s="37"/>
      <c r="BKZ34" s="37"/>
      <c r="BLA34" s="37"/>
      <c r="BLB34" s="37"/>
      <c r="BLC34" s="75"/>
      <c r="BLD34" s="37"/>
      <c r="BLE34" s="37"/>
      <c r="BLF34" s="37"/>
      <c r="BLG34" s="37"/>
      <c r="BLH34" s="37"/>
      <c r="BLI34" s="138"/>
      <c r="BLJ34" s="37"/>
      <c r="BLK34" s="37"/>
      <c r="BLL34" s="37"/>
      <c r="BLM34" s="37"/>
      <c r="BLN34" s="37"/>
      <c r="BLO34" s="75"/>
      <c r="BLP34" s="37"/>
      <c r="BLQ34" s="37"/>
      <c r="BLR34" s="37"/>
      <c r="BLS34" s="37"/>
      <c r="BLT34" s="37"/>
      <c r="BLU34" s="38"/>
      <c r="BLV34" s="36"/>
      <c r="BLW34" s="65"/>
      <c r="BLX34" s="65"/>
      <c r="BLY34" s="65"/>
      <c r="BLZ34" s="37"/>
      <c r="BMA34" s="133"/>
      <c r="BMB34" s="37"/>
      <c r="BMC34" s="37"/>
      <c r="BMD34" s="37"/>
      <c r="BME34" s="37"/>
      <c r="BMF34" s="37"/>
      <c r="BMG34" s="138"/>
      <c r="BMH34" s="37"/>
      <c r="BMI34" s="37"/>
      <c r="BMJ34" s="37"/>
      <c r="BMK34" s="37"/>
      <c r="BML34" s="37"/>
      <c r="BMM34" s="75"/>
      <c r="BMN34" s="37"/>
      <c r="BMO34" s="37"/>
      <c r="BMP34" s="37"/>
      <c r="BMQ34" s="37"/>
      <c r="BMR34" s="37"/>
      <c r="BMS34" s="138"/>
      <c r="BMT34" s="37"/>
      <c r="BMU34" s="37"/>
      <c r="BMV34" s="37"/>
      <c r="BMW34" s="37"/>
      <c r="BMX34" s="37"/>
      <c r="BMY34" s="75"/>
      <c r="BMZ34" s="65"/>
      <c r="BNA34" s="65"/>
      <c r="BNB34" s="65"/>
      <c r="BNC34" s="65"/>
      <c r="BND34" s="37"/>
      <c r="BNE34" s="138"/>
      <c r="BNF34" s="37"/>
      <c r="BNG34" s="37"/>
      <c r="BNH34" s="37"/>
      <c r="BNI34" s="37"/>
      <c r="BNJ34" s="37"/>
      <c r="BNK34" s="75"/>
      <c r="BNL34" s="37"/>
      <c r="BNM34" s="37"/>
      <c r="BNN34" s="37"/>
      <c r="BNO34" s="37"/>
      <c r="BNP34" s="37"/>
      <c r="BNQ34" s="138"/>
      <c r="BNR34" s="37"/>
      <c r="BNS34" s="37"/>
      <c r="BNT34" s="37"/>
      <c r="BNU34" s="37"/>
      <c r="BNV34" s="37"/>
      <c r="BNW34" s="75"/>
      <c r="BNX34" s="37"/>
      <c r="BNY34" s="37"/>
      <c r="BNZ34" s="37"/>
      <c r="BOA34" s="37"/>
      <c r="BOB34" s="37"/>
      <c r="BOC34" s="38"/>
      <c r="BOD34" s="90"/>
    </row>
    <row r="35" spans="1:1746" ht="20.100000000000001" customHeight="1" x14ac:dyDescent="0.25">
      <c r="A35" s="100" t="s">
        <v>19</v>
      </c>
      <c r="B35" s="63" t="str">
        <f>IF(LEN(C55)=0,"",C55)</f>
        <v>Réaliser - Remplissage des classes</v>
      </c>
      <c r="C35" s="211" t="s">
        <v>47</v>
      </c>
      <c r="D35" s="146" t="str">
        <f t="shared" si="0"/>
        <v>1h50min</v>
      </c>
      <c r="E35" s="39">
        <v>22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81"/>
      <c r="AD35" s="179"/>
      <c r="AE35" s="179"/>
      <c r="AF35" s="179"/>
      <c r="AG35" s="179"/>
      <c r="AH35" s="179"/>
      <c r="AI35" s="182"/>
      <c r="AJ35" s="178"/>
      <c r="AK35" s="178"/>
      <c r="AL35" s="178"/>
      <c r="AM35" s="178"/>
      <c r="AN35" s="179"/>
      <c r="AO35" s="181"/>
      <c r="AP35" s="179"/>
      <c r="AQ35" s="179"/>
      <c r="AR35" s="179"/>
      <c r="AS35" s="179"/>
      <c r="AT35" s="179"/>
      <c r="AU35" s="182"/>
      <c r="AV35" s="179"/>
      <c r="AW35" s="179"/>
      <c r="AX35" s="179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40"/>
      <c r="BJO35" s="66"/>
      <c r="BJP35" s="66"/>
      <c r="BJQ35" s="66"/>
      <c r="BJR35" s="41"/>
      <c r="BJS35" s="134"/>
      <c r="BJT35" s="41"/>
      <c r="BJU35" s="41"/>
      <c r="BJV35" s="41"/>
      <c r="BJW35" s="41"/>
      <c r="BJX35" s="41"/>
      <c r="BJY35" s="139"/>
      <c r="BJZ35" s="41"/>
      <c r="BKA35" s="41"/>
      <c r="BKB35" s="41"/>
      <c r="BKC35" s="41"/>
      <c r="BKD35" s="41"/>
      <c r="BKE35" s="76"/>
      <c r="BKF35" s="41"/>
      <c r="BKG35" s="41"/>
      <c r="BKH35" s="41"/>
      <c r="BKI35" s="41"/>
      <c r="BKJ35" s="41"/>
      <c r="BKK35" s="139"/>
      <c r="BKL35" s="41"/>
      <c r="BKM35" s="41"/>
      <c r="BKN35" s="41"/>
      <c r="BKO35" s="41"/>
      <c r="BKP35" s="41"/>
      <c r="BKQ35" s="76"/>
      <c r="BKR35" s="66"/>
      <c r="BKS35" s="66"/>
      <c r="BKT35" s="66"/>
      <c r="BKU35" s="66"/>
      <c r="BKV35" s="41"/>
      <c r="BKW35" s="139"/>
      <c r="BKX35" s="41"/>
      <c r="BKY35" s="41"/>
      <c r="BKZ35" s="41"/>
      <c r="BLA35" s="41"/>
      <c r="BLB35" s="41"/>
      <c r="BLC35" s="76"/>
      <c r="BLD35" s="41"/>
      <c r="BLE35" s="41"/>
      <c r="BLF35" s="41"/>
      <c r="BLG35" s="41"/>
      <c r="BLH35" s="41"/>
      <c r="BLI35" s="139"/>
      <c r="BLJ35" s="41"/>
      <c r="BLK35" s="41"/>
      <c r="BLL35" s="41"/>
      <c r="BLM35" s="41"/>
      <c r="BLN35" s="41"/>
      <c r="BLO35" s="76"/>
      <c r="BLP35" s="41"/>
      <c r="BLQ35" s="41"/>
      <c r="BLR35" s="41"/>
      <c r="BLS35" s="41"/>
      <c r="BLT35" s="41"/>
      <c r="BLU35" s="42"/>
      <c r="BLV35" s="40"/>
      <c r="BLW35" s="66"/>
      <c r="BLX35" s="66"/>
      <c r="BLY35" s="66"/>
      <c r="BLZ35" s="41"/>
      <c r="BMA35" s="134"/>
      <c r="BMB35" s="41"/>
      <c r="BMC35" s="41"/>
      <c r="BMD35" s="41"/>
      <c r="BME35" s="41"/>
      <c r="BMF35" s="41"/>
      <c r="BMG35" s="139"/>
      <c r="BMH35" s="41"/>
      <c r="BMI35" s="41"/>
      <c r="BMJ35" s="41"/>
      <c r="BMK35" s="41"/>
      <c r="BML35" s="41"/>
      <c r="BMM35" s="76"/>
      <c r="BMN35" s="41"/>
      <c r="BMO35" s="41"/>
      <c r="BMP35" s="41"/>
      <c r="BMQ35" s="41"/>
      <c r="BMR35" s="41"/>
      <c r="BMS35" s="139"/>
      <c r="BMT35" s="41"/>
      <c r="BMU35" s="41"/>
      <c r="BMV35" s="41"/>
      <c r="BMW35" s="41"/>
      <c r="BMX35" s="41"/>
      <c r="BMY35" s="76"/>
      <c r="BMZ35" s="66"/>
      <c r="BNA35" s="66"/>
      <c r="BNB35" s="66"/>
      <c r="BNC35" s="66"/>
      <c r="BND35" s="41"/>
      <c r="BNE35" s="139"/>
      <c r="BNF35" s="41"/>
      <c r="BNG35" s="41"/>
      <c r="BNH35" s="41"/>
      <c r="BNI35" s="41"/>
      <c r="BNJ35" s="41"/>
      <c r="BNK35" s="76"/>
      <c r="BNL35" s="41"/>
      <c r="BNM35" s="41"/>
      <c r="BNN35" s="41"/>
      <c r="BNO35" s="41"/>
      <c r="BNP35" s="41"/>
      <c r="BNQ35" s="139"/>
      <c r="BNR35" s="41"/>
      <c r="BNS35" s="41"/>
      <c r="BNT35" s="41"/>
      <c r="BNU35" s="41"/>
      <c r="BNV35" s="41"/>
      <c r="BNW35" s="76"/>
      <c r="BNX35" s="41"/>
      <c r="BNY35" s="41"/>
      <c r="BNZ35" s="41"/>
      <c r="BOA35" s="41"/>
      <c r="BOB35" s="41"/>
      <c r="BOC35" s="42"/>
      <c r="BOD35" s="90"/>
    </row>
    <row r="36" spans="1:1746" ht="20.100000000000001" customHeight="1" x14ac:dyDescent="0.25">
      <c r="A36" s="100" t="s">
        <v>20</v>
      </c>
      <c r="B36" s="63" t="str">
        <f>IF(LEN(C57)=0,"",C57)</f>
        <v>Réaliser - Débogage</v>
      </c>
      <c r="C36" s="212"/>
      <c r="D36" s="147" t="str">
        <f t="shared" si="0"/>
        <v>1h50min</v>
      </c>
      <c r="E36" s="27">
        <v>22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73"/>
      <c r="AD36" s="169"/>
      <c r="AE36" s="169"/>
      <c r="AF36" s="169"/>
      <c r="AG36" s="169"/>
      <c r="AH36" s="169"/>
      <c r="AI36" s="171"/>
      <c r="AJ36" s="172"/>
      <c r="AK36" s="172"/>
      <c r="AL36" s="172"/>
      <c r="AM36" s="172"/>
      <c r="AN36" s="169"/>
      <c r="AO36" s="173"/>
      <c r="AP36" s="169"/>
      <c r="AQ36" s="169"/>
      <c r="AR36" s="169"/>
      <c r="AS36" s="169"/>
      <c r="AT36" s="169"/>
      <c r="AU36" s="171"/>
      <c r="AV36" s="169"/>
      <c r="AW36" s="169"/>
      <c r="AX36" s="16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28"/>
      <c r="BJO36" s="67"/>
      <c r="BJP36" s="67"/>
      <c r="BJQ36" s="67"/>
      <c r="BJR36" s="29"/>
      <c r="BJS36" s="131"/>
      <c r="BJT36" s="29"/>
      <c r="BJU36" s="29"/>
      <c r="BJV36" s="29"/>
      <c r="BJW36" s="29"/>
      <c r="BJX36" s="29"/>
      <c r="BJY36" s="136"/>
      <c r="BJZ36" s="29"/>
      <c r="BKA36" s="29"/>
      <c r="BKB36" s="29"/>
      <c r="BKC36" s="29"/>
      <c r="BKD36" s="29"/>
      <c r="BKE36" s="73"/>
      <c r="BKF36" s="29"/>
      <c r="BKG36" s="29"/>
      <c r="BKH36" s="29"/>
      <c r="BKI36" s="29"/>
      <c r="BKJ36" s="29"/>
      <c r="BKK36" s="136"/>
      <c r="BKL36" s="29"/>
      <c r="BKM36" s="29"/>
      <c r="BKN36" s="29"/>
      <c r="BKO36" s="29"/>
      <c r="BKP36" s="29"/>
      <c r="BKQ36" s="73"/>
      <c r="BKR36" s="67"/>
      <c r="BKS36" s="67"/>
      <c r="BKT36" s="67"/>
      <c r="BKU36" s="67"/>
      <c r="BKV36" s="29"/>
      <c r="BKW36" s="136"/>
      <c r="BKX36" s="29"/>
      <c r="BKY36" s="29"/>
      <c r="BKZ36" s="29"/>
      <c r="BLA36" s="29"/>
      <c r="BLB36" s="29"/>
      <c r="BLC36" s="73"/>
      <c r="BLD36" s="29"/>
      <c r="BLE36" s="29"/>
      <c r="BLF36" s="29"/>
      <c r="BLG36" s="29"/>
      <c r="BLH36" s="29"/>
      <c r="BLI36" s="136"/>
      <c r="BLJ36" s="29"/>
      <c r="BLK36" s="29"/>
      <c r="BLL36" s="29"/>
      <c r="BLM36" s="29"/>
      <c r="BLN36" s="29"/>
      <c r="BLO36" s="73"/>
      <c r="BLP36" s="29"/>
      <c r="BLQ36" s="29"/>
      <c r="BLR36" s="29"/>
      <c r="BLS36" s="29"/>
      <c r="BLT36" s="29"/>
      <c r="BLU36" s="30"/>
      <c r="BLV36" s="28"/>
      <c r="BLW36" s="67"/>
      <c r="BLX36" s="67"/>
      <c r="BLY36" s="67"/>
      <c r="BLZ36" s="29"/>
      <c r="BMA36" s="131"/>
      <c r="BMB36" s="29"/>
      <c r="BMC36" s="29"/>
      <c r="BMD36" s="29"/>
      <c r="BME36" s="29"/>
      <c r="BMF36" s="29"/>
      <c r="BMG36" s="136"/>
      <c r="BMH36" s="29"/>
      <c r="BMI36" s="29"/>
      <c r="BMJ36" s="29"/>
      <c r="BMK36" s="29"/>
      <c r="BML36" s="29"/>
      <c r="BMM36" s="73"/>
      <c r="BMN36" s="29"/>
      <c r="BMO36" s="29"/>
      <c r="BMP36" s="29"/>
      <c r="BMQ36" s="29"/>
      <c r="BMR36" s="29"/>
      <c r="BMS36" s="136"/>
      <c r="BMT36" s="29"/>
      <c r="BMU36" s="29"/>
      <c r="BMV36" s="29"/>
      <c r="BMW36" s="29"/>
      <c r="BMX36" s="29"/>
      <c r="BMY36" s="73"/>
      <c r="BMZ36" s="67"/>
      <c r="BNA36" s="67"/>
      <c r="BNB36" s="67"/>
      <c r="BNC36" s="67"/>
      <c r="BND36" s="29"/>
      <c r="BNE36" s="136"/>
      <c r="BNF36" s="29"/>
      <c r="BNG36" s="29"/>
      <c r="BNH36" s="29"/>
      <c r="BNI36" s="29"/>
      <c r="BNJ36" s="29"/>
      <c r="BNK36" s="73"/>
      <c r="BNL36" s="29"/>
      <c r="BNM36" s="29"/>
      <c r="BNN36" s="29"/>
      <c r="BNO36" s="29"/>
      <c r="BNP36" s="29"/>
      <c r="BNQ36" s="136"/>
      <c r="BNR36" s="29"/>
      <c r="BNS36" s="29"/>
      <c r="BNT36" s="29"/>
      <c r="BNU36" s="29"/>
      <c r="BNV36" s="29"/>
      <c r="BNW36" s="73"/>
      <c r="BNX36" s="29"/>
      <c r="BNY36" s="29"/>
      <c r="BNZ36" s="29"/>
      <c r="BOA36" s="29"/>
      <c r="BOB36" s="29"/>
      <c r="BOC36" s="30"/>
      <c r="BOD36" s="90"/>
    </row>
    <row r="37" spans="1:1746" ht="20.100000000000001" customHeight="1" x14ac:dyDescent="0.25">
      <c r="A37" s="100" t="s">
        <v>19</v>
      </c>
      <c r="B37" s="63" t="str">
        <f>IF(LEN(C59)=0,"",C59)</f>
        <v>Réaliser - Création de l'installer</v>
      </c>
      <c r="C37" s="211" t="s">
        <v>48</v>
      </c>
      <c r="D37" s="146" t="str">
        <f t="shared" si="0"/>
        <v>2h20min</v>
      </c>
      <c r="E37" s="31">
        <v>28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188"/>
      <c r="BO37" s="185"/>
      <c r="BP37" s="185"/>
      <c r="BQ37" s="185"/>
      <c r="BR37" s="183"/>
      <c r="BS37" s="187"/>
      <c r="BT37" s="183"/>
      <c r="BU37" s="183"/>
      <c r="BV37" s="183"/>
      <c r="BW37" s="183"/>
      <c r="BX37" s="183"/>
      <c r="BY37" s="186"/>
      <c r="BZ37" s="183"/>
      <c r="CA37" s="183"/>
      <c r="CB37" s="183"/>
      <c r="CC37" s="183"/>
      <c r="CD37" s="183"/>
      <c r="CE37" s="184"/>
      <c r="CF37" s="183"/>
      <c r="CG37" s="183"/>
      <c r="CH37" s="183"/>
      <c r="CI37" s="183"/>
      <c r="CJ37" s="183"/>
      <c r="CK37" s="186"/>
      <c r="CL37" s="183"/>
      <c r="CM37" s="183"/>
      <c r="CN37" s="183"/>
      <c r="CO37" s="18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32"/>
      <c r="BJO37" s="64"/>
      <c r="BJP37" s="64"/>
      <c r="BJQ37" s="64"/>
      <c r="BJR37" s="33"/>
      <c r="BJS37" s="132"/>
      <c r="BJT37" s="33"/>
      <c r="BJU37" s="33"/>
      <c r="BJV37" s="33"/>
      <c r="BJW37" s="33"/>
      <c r="BJX37" s="33"/>
      <c r="BJY37" s="137"/>
      <c r="BJZ37" s="33"/>
      <c r="BKA37" s="33"/>
      <c r="BKB37" s="33"/>
      <c r="BKC37" s="33"/>
      <c r="BKD37" s="33"/>
      <c r="BKE37" s="74"/>
      <c r="BKF37" s="33"/>
      <c r="BKG37" s="33"/>
      <c r="BKH37" s="33"/>
      <c r="BKI37" s="33"/>
      <c r="BKJ37" s="33"/>
      <c r="BKK37" s="137"/>
      <c r="BKL37" s="33"/>
      <c r="BKM37" s="33"/>
      <c r="BKN37" s="33"/>
      <c r="BKO37" s="33"/>
      <c r="BKP37" s="33"/>
      <c r="BKQ37" s="74"/>
      <c r="BKR37" s="64"/>
      <c r="BKS37" s="64"/>
      <c r="BKT37" s="64"/>
      <c r="BKU37" s="64"/>
      <c r="BKV37" s="33"/>
      <c r="BKW37" s="137"/>
      <c r="BKX37" s="33"/>
      <c r="BKY37" s="33"/>
      <c r="BKZ37" s="33"/>
      <c r="BLA37" s="33"/>
      <c r="BLB37" s="33"/>
      <c r="BLC37" s="74"/>
      <c r="BLD37" s="33"/>
      <c r="BLE37" s="33"/>
      <c r="BLF37" s="33"/>
      <c r="BLG37" s="33"/>
      <c r="BLH37" s="33"/>
      <c r="BLI37" s="137"/>
      <c r="BLJ37" s="33"/>
      <c r="BLK37" s="33"/>
      <c r="BLL37" s="33"/>
      <c r="BLM37" s="33"/>
      <c r="BLN37" s="33"/>
      <c r="BLO37" s="74"/>
      <c r="BLP37" s="33"/>
      <c r="BLQ37" s="33"/>
      <c r="BLR37" s="33"/>
      <c r="BLS37" s="33"/>
      <c r="BLT37" s="33"/>
      <c r="BLU37" s="34"/>
      <c r="BLV37" s="32"/>
      <c r="BLW37" s="64"/>
      <c r="BLX37" s="64"/>
      <c r="BLY37" s="64"/>
      <c r="BLZ37" s="33"/>
      <c r="BMA37" s="132"/>
      <c r="BMB37" s="33"/>
      <c r="BMC37" s="33"/>
      <c r="BMD37" s="33"/>
      <c r="BME37" s="33"/>
      <c r="BMF37" s="33"/>
      <c r="BMG37" s="137"/>
      <c r="BMH37" s="33"/>
      <c r="BMI37" s="33"/>
      <c r="BMJ37" s="33"/>
      <c r="BMK37" s="33"/>
      <c r="BML37" s="33"/>
      <c r="BMM37" s="74"/>
      <c r="BMN37" s="33"/>
      <c r="BMO37" s="33"/>
      <c r="BMP37" s="33"/>
      <c r="BMQ37" s="33"/>
      <c r="BMR37" s="33"/>
      <c r="BMS37" s="137"/>
      <c r="BMT37" s="33"/>
      <c r="BMU37" s="33"/>
      <c r="BMV37" s="33"/>
      <c r="BMW37" s="33"/>
      <c r="BMX37" s="33"/>
      <c r="BMY37" s="74"/>
      <c r="BMZ37" s="64"/>
      <c r="BNA37" s="64"/>
      <c r="BNB37" s="64"/>
      <c r="BNC37" s="64"/>
      <c r="BND37" s="33"/>
      <c r="BNE37" s="137"/>
      <c r="BNF37" s="33"/>
      <c r="BNG37" s="33"/>
      <c r="BNH37" s="33"/>
      <c r="BNI37" s="33"/>
      <c r="BNJ37" s="33"/>
      <c r="BNK37" s="74"/>
      <c r="BNL37" s="33"/>
      <c r="BNM37" s="33"/>
      <c r="BNN37" s="33"/>
      <c r="BNO37" s="33"/>
      <c r="BNP37" s="33"/>
      <c r="BNQ37" s="137"/>
      <c r="BNR37" s="33"/>
      <c r="BNS37" s="33"/>
      <c r="BNT37" s="33"/>
      <c r="BNU37" s="33"/>
      <c r="BNV37" s="33"/>
      <c r="BNW37" s="74"/>
      <c r="BNX37" s="33"/>
      <c r="BNY37" s="33"/>
      <c r="BNZ37" s="33"/>
      <c r="BOA37" s="33"/>
      <c r="BOB37" s="33"/>
      <c r="BOC37" s="34"/>
      <c r="BOD37" s="90"/>
    </row>
    <row r="38" spans="1:1746" ht="20.100000000000001" customHeight="1" x14ac:dyDescent="0.3">
      <c r="A38" s="100" t="s">
        <v>20</v>
      </c>
      <c r="B38" s="63" t="str">
        <f>IF(LEN(C61)=0,"",C61)</f>
        <v>Tester - Test des fonctionnalités</v>
      </c>
      <c r="C38" s="213"/>
      <c r="D38" s="148" t="str">
        <f t="shared" si="0"/>
        <v>1h35min</v>
      </c>
      <c r="E38" s="35">
        <v>19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165"/>
      <c r="BO38" s="166"/>
      <c r="BP38" s="166"/>
      <c r="BQ38" s="166"/>
      <c r="BR38" s="167"/>
      <c r="BS38" s="168"/>
      <c r="BT38" s="167"/>
      <c r="BU38" s="167"/>
      <c r="BV38" s="167"/>
      <c r="BW38" s="167"/>
      <c r="BX38" s="37"/>
      <c r="BY38" s="138"/>
      <c r="BZ38" s="167"/>
      <c r="CA38" s="167"/>
      <c r="CB38" s="167"/>
      <c r="CC38" s="167"/>
      <c r="CD38" s="167"/>
      <c r="CE38" s="175"/>
      <c r="CF38" s="167"/>
      <c r="CG38" s="167"/>
      <c r="CH38" s="16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36"/>
      <c r="BJO38" s="65"/>
      <c r="BJP38" s="65"/>
      <c r="BJQ38" s="65"/>
      <c r="BJR38" s="37"/>
      <c r="BJS38" s="133"/>
      <c r="BJT38" s="37"/>
      <c r="BJU38" s="37"/>
      <c r="BJV38" s="37"/>
      <c r="BJW38" s="37"/>
      <c r="BJX38" s="37"/>
      <c r="BJY38" s="138"/>
      <c r="BJZ38" s="37"/>
      <c r="BKA38" s="37"/>
      <c r="BKB38" s="37"/>
      <c r="BKC38" s="37"/>
      <c r="BKD38" s="37"/>
      <c r="BKE38" s="75"/>
      <c r="BKF38" s="37"/>
      <c r="BKG38" s="37"/>
      <c r="BKH38" s="37"/>
      <c r="BKI38" s="37"/>
      <c r="BKJ38" s="37"/>
      <c r="BKK38" s="138"/>
      <c r="BKL38" s="37"/>
      <c r="BKM38" s="37"/>
      <c r="BKN38" s="37"/>
      <c r="BKO38" s="37"/>
      <c r="BKP38" s="37"/>
      <c r="BKQ38" s="75"/>
      <c r="BKR38" s="65"/>
      <c r="BKS38" s="65"/>
      <c r="BKT38" s="65"/>
      <c r="BKU38" s="65"/>
      <c r="BKV38" s="37"/>
      <c r="BKW38" s="138"/>
      <c r="BKX38" s="37"/>
      <c r="BKY38" s="37"/>
      <c r="BKZ38" s="37"/>
      <c r="BLA38" s="37"/>
      <c r="BLB38" s="37"/>
      <c r="BLC38" s="75"/>
      <c r="BLD38" s="37"/>
      <c r="BLE38" s="37"/>
      <c r="BLF38" s="37"/>
      <c r="BLG38" s="37"/>
      <c r="BLH38" s="37"/>
      <c r="BLI38" s="138"/>
      <c r="BLJ38" s="37"/>
      <c r="BLK38" s="37"/>
      <c r="BLL38" s="37"/>
      <c r="BLM38" s="37"/>
      <c r="BLN38" s="37"/>
      <c r="BLO38" s="75"/>
      <c r="BLP38" s="37"/>
      <c r="BLQ38" s="37"/>
      <c r="BLR38" s="37"/>
      <c r="BLS38" s="37"/>
      <c r="BLT38" s="37"/>
      <c r="BLU38" s="38"/>
      <c r="BLV38" s="36"/>
      <c r="BLW38" s="65"/>
      <c r="BLX38" s="65"/>
      <c r="BLY38" s="65"/>
      <c r="BLZ38" s="37"/>
      <c r="BMA38" s="133"/>
      <c r="BMB38" s="37"/>
      <c r="BMC38" s="37"/>
      <c r="BMD38" s="37"/>
      <c r="BME38" s="37"/>
      <c r="BMF38" s="37"/>
      <c r="BMG38" s="138"/>
      <c r="BMH38" s="37"/>
      <c r="BMI38" s="37"/>
      <c r="BMJ38" s="37"/>
      <c r="BMK38" s="37"/>
      <c r="BML38" s="37"/>
      <c r="BMM38" s="75"/>
      <c r="BMN38" s="37"/>
      <c r="BMO38" s="37"/>
      <c r="BMP38" s="37"/>
      <c r="BMQ38" s="37"/>
      <c r="BMR38" s="37"/>
      <c r="BMS38" s="138"/>
      <c r="BMT38" s="37"/>
      <c r="BMU38" s="37"/>
      <c r="BMV38" s="37"/>
      <c r="BMW38" s="37"/>
      <c r="BMX38" s="37"/>
      <c r="BMY38" s="75"/>
      <c r="BMZ38" s="65"/>
      <c r="BNA38" s="65"/>
      <c r="BNB38" s="65"/>
      <c r="BNC38" s="65"/>
      <c r="BND38" s="37"/>
      <c r="BNE38" s="138"/>
      <c r="BNF38" s="37"/>
      <c r="BNG38" s="37"/>
      <c r="BNH38" s="37"/>
      <c r="BNI38" s="37"/>
      <c r="BNJ38" s="37"/>
      <c r="BNK38" s="75"/>
      <c r="BNL38" s="37"/>
      <c r="BNM38" s="37"/>
      <c r="BNN38" s="37"/>
      <c r="BNO38" s="37"/>
      <c r="BNP38" s="37"/>
      <c r="BNQ38" s="138"/>
      <c r="BNR38" s="37"/>
      <c r="BNS38" s="37"/>
      <c r="BNT38" s="37"/>
      <c r="BNU38" s="37"/>
      <c r="BNV38" s="37"/>
      <c r="BNW38" s="75"/>
      <c r="BNX38" s="37"/>
      <c r="BNY38" s="37"/>
      <c r="BNZ38" s="37"/>
      <c r="BOA38" s="37"/>
      <c r="BOB38" s="37"/>
      <c r="BOC38" s="38"/>
      <c r="BOD38" s="90"/>
    </row>
    <row r="39" spans="1:1746" ht="20.100000000000001" customHeight="1" x14ac:dyDescent="0.25">
      <c r="A39" s="100" t="s">
        <v>19</v>
      </c>
      <c r="B39" s="63" t="str">
        <f>IF(LEN(C63)=0,"",C63)</f>
        <v>Tester - Description des erreurs</v>
      </c>
      <c r="C39" s="211" t="s">
        <v>61</v>
      </c>
      <c r="D39" s="146" t="str">
        <f t="shared" si="0"/>
        <v>0h25min</v>
      </c>
      <c r="E39" s="39">
        <v>5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177"/>
      <c r="DW39" s="178"/>
      <c r="DX39" s="178"/>
      <c r="DY39" s="178"/>
      <c r="DZ39" s="179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40"/>
      <c r="BJO39" s="66"/>
      <c r="BJP39" s="66"/>
      <c r="BJQ39" s="66"/>
      <c r="BJR39" s="41"/>
      <c r="BJS39" s="134"/>
      <c r="BJT39" s="41"/>
      <c r="BJU39" s="41"/>
      <c r="BJV39" s="41"/>
      <c r="BJW39" s="41"/>
      <c r="BJX39" s="41"/>
      <c r="BJY39" s="139"/>
      <c r="BJZ39" s="41"/>
      <c r="BKA39" s="41"/>
      <c r="BKB39" s="41"/>
      <c r="BKC39" s="41"/>
      <c r="BKD39" s="41"/>
      <c r="BKE39" s="76"/>
      <c r="BKF39" s="41"/>
      <c r="BKG39" s="41"/>
      <c r="BKH39" s="41"/>
      <c r="BKI39" s="41"/>
      <c r="BKJ39" s="41"/>
      <c r="BKK39" s="139"/>
      <c r="BKL39" s="41"/>
      <c r="BKM39" s="41"/>
      <c r="BKN39" s="41"/>
      <c r="BKO39" s="41"/>
      <c r="BKP39" s="41"/>
      <c r="BKQ39" s="76"/>
      <c r="BKR39" s="66"/>
      <c r="BKS39" s="66"/>
      <c r="BKT39" s="66"/>
      <c r="BKU39" s="66"/>
      <c r="BKV39" s="41"/>
      <c r="BKW39" s="139"/>
      <c r="BKX39" s="41"/>
      <c r="BKY39" s="41"/>
      <c r="BKZ39" s="41"/>
      <c r="BLA39" s="41"/>
      <c r="BLB39" s="41"/>
      <c r="BLC39" s="76"/>
      <c r="BLD39" s="41"/>
      <c r="BLE39" s="41"/>
      <c r="BLF39" s="41"/>
      <c r="BLG39" s="41"/>
      <c r="BLH39" s="41"/>
      <c r="BLI39" s="139"/>
      <c r="BLJ39" s="41"/>
      <c r="BLK39" s="41"/>
      <c r="BLL39" s="41"/>
      <c r="BLM39" s="41"/>
      <c r="BLN39" s="41"/>
      <c r="BLO39" s="76"/>
      <c r="BLP39" s="41"/>
      <c r="BLQ39" s="41"/>
      <c r="BLR39" s="41"/>
      <c r="BLS39" s="41"/>
      <c r="BLT39" s="41"/>
      <c r="BLU39" s="42"/>
      <c r="BLV39" s="40"/>
      <c r="BLW39" s="66"/>
      <c r="BLX39" s="66"/>
      <c r="BLY39" s="66"/>
      <c r="BLZ39" s="41"/>
      <c r="BMA39" s="134"/>
      <c r="BMB39" s="41"/>
      <c r="BMC39" s="41"/>
      <c r="BMD39" s="41"/>
      <c r="BME39" s="41"/>
      <c r="BMF39" s="41"/>
      <c r="BMG39" s="139"/>
      <c r="BMH39" s="41"/>
      <c r="BMI39" s="41"/>
      <c r="BMJ39" s="41"/>
      <c r="BMK39" s="41"/>
      <c r="BML39" s="41"/>
      <c r="BMM39" s="76"/>
      <c r="BMN39" s="41"/>
      <c r="BMO39" s="41"/>
      <c r="BMP39" s="41"/>
      <c r="BMQ39" s="41"/>
      <c r="BMR39" s="41"/>
      <c r="BMS39" s="139"/>
      <c r="BMT39" s="41"/>
      <c r="BMU39" s="41"/>
      <c r="BMV39" s="41"/>
      <c r="BMW39" s="41"/>
      <c r="BMX39" s="41"/>
      <c r="BMY39" s="76"/>
      <c r="BMZ39" s="66"/>
      <c r="BNA39" s="66"/>
      <c r="BNB39" s="66"/>
      <c r="BNC39" s="66"/>
      <c r="BND39" s="41"/>
      <c r="BNE39" s="139"/>
      <c r="BNF39" s="41"/>
      <c r="BNG39" s="41"/>
      <c r="BNH39" s="41"/>
      <c r="BNI39" s="41"/>
      <c r="BNJ39" s="41"/>
      <c r="BNK39" s="76"/>
      <c r="BNL39" s="41"/>
      <c r="BNM39" s="41"/>
      <c r="BNN39" s="41"/>
      <c r="BNO39" s="41"/>
      <c r="BNP39" s="41"/>
      <c r="BNQ39" s="139"/>
      <c r="BNR39" s="41"/>
      <c r="BNS39" s="41"/>
      <c r="BNT39" s="41"/>
      <c r="BNU39" s="41"/>
      <c r="BNV39" s="41"/>
      <c r="BNW39" s="76"/>
      <c r="BNX39" s="41"/>
      <c r="BNY39" s="41"/>
      <c r="BNZ39" s="41"/>
      <c r="BOA39" s="41"/>
      <c r="BOB39" s="41"/>
      <c r="BOC39" s="42"/>
      <c r="BOD39" s="90"/>
    </row>
    <row r="40" spans="1:1746" ht="20.100000000000001" customHeight="1" x14ac:dyDescent="0.25">
      <c r="A40" s="100" t="s">
        <v>20</v>
      </c>
      <c r="B40" s="63" t="str">
        <f>IF(LEN(C65)=0,"",C65)</f>
        <v>Évaluer - Comparaison CDC</v>
      </c>
      <c r="C40" s="213"/>
      <c r="D40" s="147" t="str">
        <f t="shared" si="0"/>
        <v>0h50min</v>
      </c>
      <c r="E40" s="27">
        <v>10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191"/>
      <c r="DW40" s="172"/>
      <c r="DX40" s="172"/>
      <c r="DY40" s="172"/>
      <c r="DZ40" s="169"/>
      <c r="EA40" s="192"/>
      <c r="EB40" s="169"/>
      <c r="EC40" s="169"/>
      <c r="ED40" s="169"/>
      <c r="EE40" s="16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28"/>
      <c r="BJO40" s="67"/>
      <c r="BJP40" s="67"/>
      <c r="BJQ40" s="67"/>
      <c r="BJR40" s="29"/>
      <c r="BJS40" s="131"/>
      <c r="BJT40" s="29"/>
      <c r="BJU40" s="29"/>
      <c r="BJV40" s="29"/>
      <c r="BJW40" s="29"/>
      <c r="BJX40" s="29"/>
      <c r="BJY40" s="136"/>
      <c r="BJZ40" s="29"/>
      <c r="BKA40" s="29"/>
      <c r="BKB40" s="29"/>
      <c r="BKC40" s="29"/>
      <c r="BKD40" s="29"/>
      <c r="BKE40" s="73"/>
      <c r="BKF40" s="29"/>
      <c r="BKG40" s="29"/>
      <c r="BKH40" s="29"/>
      <c r="BKI40" s="29"/>
      <c r="BKJ40" s="29"/>
      <c r="BKK40" s="136"/>
      <c r="BKL40" s="29"/>
      <c r="BKM40" s="29"/>
      <c r="BKN40" s="29"/>
      <c r="BKO40" s="29"/>
      <c r="BKP40" s="29"/>
      <c r="BKQ40" s="73"/>
      <c r="BKR40" s="67"/>
      <c r="BKS40" s="67"/>
      <c r="BKT40" s="67"/>
      <c r="BKU40" s="67"/>
      <c r="BKV40" s="29"/>
      <c r="BKW40" s="136"/>
      <c r="BKX40" s="29"/>
      <c r="BKY40" s="29"/>
      <c r="BKZ40" s="29"/>
      <c r="BLA40" s="29"/>
      <c r="BLB40" s="29"/>
      <c r="BLC40" s="73"/>
      <c r="BLD40" s="29"/>
      <c r="BLE40" s="29"/>
      <c r="BLF40" s="29"/>
      <c r="BLG40" s="29"/>
      <c r="BLH40" s="29"/>
      <c r="BLI40" s="136"/>
      <c r="BLJ40" s="29"/>
      <c r="BLK40" s="29"/>
      <c r="BLL40" s="29"/>
      <c r="BLM40" s="29"/>
      <c r="BLN40" s="29"/>
      <c r="BLO40" s="73"/>
      <c r="BLP40" s="29"/>
      <c r="BLQ40" s="29"/>
      <c r="BLR40" s="29"/>
      <c r="BLS40" s="29"/>
      <c r="BLT40" s="29"/>
      <c r="BLU40" s="30"/>
      <c r="BLV40" s="28"/>
      <c r="BLW40" s="67"/>
      <c r="BLX40" s="67"/>
      <c r="BLY40" s="67"/>
      <c r="BLZ40" s="29"/>
      <c r="BMA40" s="131"/>
      <c r="BMB40" s="29"/>
      <c r="BMC40" s="29"/>
      <c r="BMD40" s="29"/>
      <c r="BME40" s="29"/>
      <c r="BMF40" s="29"/>
      <c r="BMG40" s="136"/>
      <c r="BMH40" s="29"/>
      <c r="BMI40" s="29"/>
      <c r="BMJ40" s="29"/>
      <c r="BMK40" s="29"/>
      <c r="BML40" s="29"/>
      <c r="BMM40" s="73"/>
      <c r="BMN40" s="29"/>
      <c r="BMO40" s="29"/>
      <c r="BMP40" s="29"/>
      <c r="BMQ40" s="29"/>
      <c r="BMR40" s="29"/>
      <c r="BMS40" s="136"/>
      <c r="BMT40" s="29"/>
      <c r="BMU40" s="29"/>
      <c r="BMV40" s="29"/>
      <c r="BMW40" s="29"/>
      <c r="BMX40" s="29"/>
      <c r="BMY40" s="73"/>
      <c r="BMZ40" s="67"/>
      <c r="BNA40" s="67"/>
      <c r="BNB40" s="67"/>
      <c r="BNC40" s="67"/>
      <c r="BND40" s="29"/>
      <c r="BNE40" s="136"/>
      <c r="BNF40" s="29"/>
      <c r="BNG40" s="29"/>
      <c r="BNH40" s="29"/>
      <c r="BNI40" s="29"/>
      <c r="BNJ40" s="29"/>
      <c r="BNK40" s="73"/>
      <c r="BNL40" s="29"/>
      <c r="BNM40" s="29"/>
      <c r="BNN40" s="29"/>
      <c r="BNO40" s="29"/>
      <c r="BNP40" s="29"/>
      <c r="BNQ40" s="136"/>
      <c r="BNR40" s="29"/>
      <c r="BNS40" s="29"/>
      <c r="BNT40" s="29"/>
      <c r="BNU40" s="29"/>
      <c r="BNV40" s="29"/>
      <c r="BNW40" s="73"/>
      <c r="BNX40" s="29"/>
      <c r="BNY40" s="29"/>
      <c r="BNZ40" s="29"/>
      <c r="BOA40" s="29"/>
      <c r="BOB40" s="29"/>
      <c r="BOC40" s="30"/>
      <c r="BOD40" s="90"/>
    </row>
    <row r="41" spans="1:1746" ht="20.100000000000001" customHeight="1" x14ac:dyDescent="0.25">
      <c r="A41" s="100" t="s">
        <v>19</v>
      </c>
      <c r="B41" s="63" t="str">
        <f>IF(LEN(C67)=0,"",C67)</f>
        <v>Évaluer - Corrections au projet</v>
      </c>
      <c r="C41" s="211" t="s">
        <v>62</v>
      </c>
      <c r="D41" s="146" t="str">
        <f t="shared" si="0"/>
        <v>1h</v>
      </c>
      <c r="E41" s="31">
        <v>12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183"/>
      <c r="EE41" s="183"/>
      <c r="EF41" s="183"/>
      <c r="EG41" s="186"/>
      <c r="EH41" s="183"/>
      <c r="EI41" s="183"/>
      <c r="EJ41" s="183"/>
      <c r="EK41" s="183"/>
      <c r="EL41" s="183"/>
      <c r="EM41" s="184"/>
      <c r="EN41" s="183"/>
      <c r="EO41" s="18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32"/>
      <c r="BJO41" s="64"/>
      <c r="BJP41" s="64"/>
      <c r="BJQ41" s="64"/>
      <c r="BJR41" s="33"/>
      <c r="BJS41" s="132"/>
      <c r="BJT41" s="33"/>
      <c r="BJU41" s="33"/>
      <c r="BJV41" s="33"/>
      <c r="BJW41" s="33"/>
      <c r="BJX41" s="33"/>
      <c r="BJY41" s="137"/>
      <c r="BJZ41" s="33"/>
      <c r="BKA41" s="33"/>
      <c r="BKB41" s="33"/>
      <c r="BKC41" s="33"/>
      <c r="BKD41" s="33"/>
      <c r="BKE41" s="74"/>
      <c r="BKF41" s="33"/>
      <c r="BKG41" s="33"/>
      <c r="BKH41" s="33"/>
      <c r="BKI41" s="33"/>
      <c r="BKJ41" s="33"/>
      <c r="BKK41" s="137"/>
      <c r="BKL41" s="33"/>
      <c r="BKM41" s="33"/>
      <c r="BKN41" s="33"/>
      <c r="BKO41" s="33"/>
      <c r="BKP41" s="33"/>
      <c r="BKQ41" s="74"/>
      <c r="BKR41" s="64"/>
      <c r="BKS41" s="64"/>
      <c r="BKT41" s="64"/>
      <c r="BKU41" s="64"/>
      <c r="BKV41" s="33"/>
      <c r="BKW41" s="137"/>
      <c r="BKX41" s="33"/>
      <c r="BKY41" s="33"/>
      <c r="BKZ41" s="33"/>
      <c r="BLA41" s="33"/>
      <c r="BLB41" s="33"/>
      <c r="BLC41" s="74"/>
      <c r="BLD41" s="33"/>
      <c r="BLE41" s="33"/>
      <c r="BLF41" s="33"/>
      <c r="BLG41" s="33"/>
      <c r="BLH41" s="33"/>
      <c r="BLI41" s="137"/>
      <c r="BLJ41" s="33"/>
      <c r="BLK41" s="33"/>
      <c r="BLL41" s="33"/>
      <c r="BLM41" s="33"/>
      <c r="BLN41" s="33"/>
      <c r="BLO41" s="74"/>
      <c r="BLP41" s="33"/>
      <c r="BLQ41" s="33"/>
      <c r="BLR41" s="33"/>
      <c r="BLS41" s="33"/>
      <c r="BLT41" s="33"/>
      <c r="BLU41" s="34"/>
      <c r="BLV41" s="32"/>
      <c r="BLW41" s="64"/>
      <c r="BLX41" s="64"/>
      <c r="BLY41" s="64"/>
      <c r="BLZ41" s="33"/>
      <c r="BMA41" s="132"/>
      <c r="BMB41" s="33"/>
      <c r="BMC41" s="33"/>
      <c r="BMD41" s="33"/>
      <c r="BME41" s="33"/>
      <c r="BMF41" s="33"/>
      <c r="BMG41" s="137"/>
      <c r="BMH41" s="33"/>
      <c r="BMI41" s="33"/>
      <c r="BMJ41" s="33"/>
      <c r="BMK41" s="33"/>
      <c r="BML41" s="33"/>
      <c r="BMM41" s="74"/>
      <c r="BMN41" s="33"/>
      <c r="BMO41" s="33"/>
      <c r="BMP41" s="33"/>
      <c r="BMQ41" s="33"/>
      <c r="BMR41" s="33"/>
      <c r="BMS41" s="137"/>
      <c r="BMT41" s="33"/>
      <c r="BMU41" s="33"/>
      <c r="BMV41" s="33"/>
      <c r="BMW41" s="33"/>
      <c r="BMX41" s="33"/>
      <c r="BMY41" s="74"/>
      <c r="BMZ41" s="64"/>
      <c r="BNA41" s="64"/>
      <c r="BNB41" s="64"/>
      <c r="BNC41" s="64"/>
      <c r="BND41" s="33"/>
      <c r="BNE41" s="137"/>
      <c r="BNF41" s="33"/>
      <c r="BNG41" s="33"/>
      <c r="BNH41" s="33"/>
      <c r="BNI41" s="33"/>
      <c r="BNJ41" s="33"/>
      <c r="BNK41" s="74"/>
      <c r="BNL41" s="33"/>
      <c r="BNM41" s="33"/>
      <c r="BNN41" s="33"/>
      <c r="BNO41" s="33"/>
      <c r="BNP41" s="33"/>
      <c r="BNQ41" s="137"/>
      <c r="BNR41" s="33"/>
      <c r="BNS41" s="33"/>
      <c r="BNT41" s="33"/>
      <c r="BNU41" s="33"/>
      <c r="BNV41" s="33"/>
      <c r="BNW41" s="74"/>
      <c r="BNX41" s="33"/>
      <c r="BNY41" s="33"/>
      <c r="BNZ41" s="33"/>
      <c r="BOA41" s="33"/>
      <c r="BOB41" s="33"/>
      <c r="BOC41" s="34"/>
      <c r="BOD41" s="90"/>
    </row>
    <row r="42" spans="1:1746" ht="20.100000000000001" customHeight="1" x14ac:dyDescent="0.3">
      <c r="A42" s="100" t="s">
        <v>20</v>
      </c>
      <c r="B42" s="63" t="str">
        <f>IF(LEN(C69)=0,"",C69)</f>
        <v>Évaluer - Discussion sur les résultats</v>
      </c>
      <c r="C42" s="212"/>
      <c r="D42" s="148" t="str">
        <f t="shared" si="0"/>
        <v>2h5min</v>
      </c>
      <c r="E42" s="35">
        <v>25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167"/>
      <c r="EL42" s="167"/>
      <c r="EM42" s="175"/>
      <c r="EN42" s="167"/>
      <c r="EO42" s="167"/>
      <c r="EP42" s="167"/>
      <c r="EQ42" s="167"/>
      <c r="ER42" s="16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166"/>
      <c r="FD42" s="167"/>
      <c r="FE42" s="170"/>
      <c r="FF42" s="16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167"/>
      <c r="GM42" s="167"/>
      <c r="GN42" s="167"/>
      <c r="GO42" s="170"/>
      <c r="GP42" s="167"/>
      <c r="GQ42" s="167"/>
      <c r="GR42" s="167"/>
      <c r="GS42" s="37"/>
      <c r="GT42" s="37"/>
      <c r="GU42" s="75"/>
      <c r="GV42" s="167"/>
      <c r="GW42" s="167"/>
      <c r="GX42" s="167"/>
      <c r="GY42" s="167"/>
      <c r="GZ42" s="167"/>
      <c r="HA42" s="170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36"/>
      <c r="BJO42" s="65"/>
      <c r="BJP42" s="65"/>
      <c r="BJQ42" s="65"/>
      <c r="BJR42" s="37"/>
      <c r="BJS42" s="133"/>
      <c r="BJT42" s="37"/>
      <c r="BJU42" s="37"/>
      <c r="BJV42" s="37"/>
      <c r="BJW42" s="37"/>
      <c r="BJX42" s="37"/>
      <c r="BJY42" s="138"/>
      <c r="BJZ42" s="37"/>
      <c r="BKA42" s="37"/>
      <c r="BKB42" s="37"/>
      <c r="BKC42" s="37"/>
      <c r="BKD42" s="37"/>
      <c r="BKE42" s="75"/>
      <c r="BKF42" s="37"/>
      <c r="BKG42" s="37"/>
      <c r="BKH42" s="37"/>
      <c r="BKI42" s="37"/>
      <c r="BKJ42" s="37"/>
      <c r="BKK42" s="138"/>
      <c r="BKL42" s="37"/>
      <c r="BKM42" s="37"/>
      <c r="BKN42" s="37"/>
      <c r="BKO42" s="37"/>
      <c r="BKP42" s="37"/>
      <c r="BKQ42" s="75"/>
      <c r="BKR42" s="65"/>
      <c r="BKS42" s="65"/>
      <c r="BKT42" s="65"/>
      <c r="BKU42" s="65"/>
      <c r="BKV42" s="37"/>
      <c r="BKW42" s="138"/>
      <c r="BKX42" s="37"/>
      <c r="BKY42" s="37"/>
      <c r="BKZ42" s="37"/>
      <c r="BLA42" s="37"/>
      <c r="BLB42" s="37"/>
      <c r="BLC42" s="75"/>
      <c r="BLD42" s="37"/>
      <c r="BLE42" s="37"/>
      <c r="BLF42" s="37"/>
      <c r="BLG42" s="37"/>
      <c r="BLH42" s="37"/>
      <c r="BLI42" s="138"/>
      <c r="BLJ42" s="37"/>
      <c r="BLK42" s="37"/>
      <c r="BLL42" s="37"/>
      <c r="BLM42" s="37"/>
      <c r="BLN42" s="37"/>
      <c r="BLO42" s="75"/>
      <c r="BLP42" s="37"/>
      <c r="BLQ42" s="37"/>
      <c r="BLR42" s="37"/>
      <c r="BLS42" s="37"/>
      <c r="BLT42" s="37"/>
      <c r="BLU42" s="38"/>
      <c r="BLV42" s="36"/>
      <c r="BLW42" s="65"/>
      <c r="BLX42" s="65"/>
      <c r="BLY42" s="65"/>
      <c r="BLZ42" s="37"/>
      <c r="BMA42" s="133"/>
      <c r="BMB42" s="37"/>
      <c r="BMC42" s="37"/>
      <c r="BMD42" s="37"/>
      <c r="BME42" s="37"/>
      <c r="BMF42" s="37"/>
      <c r="BMG42" s="138"/>
      <c r="BMH42" s="37"/>
      <c r="BMI42" s="37"/>
      <c r="BMJ42" s="37"/>
      <c r="BMK42" s="37"/>
      <c r="BML42" s="37"/>
      <c r="BMM42" s="75"/>
      <c r="BMN42" s="37"/>
      <c r="BMO42" s="37"/>
      <c r="BMP42" s="37"/>
      <c r="BMQ42" s="37"/>
      <c r="BMR42" s="37"/>
      <c r="BMS42" s="138"/>
      <c r="BMT42" s="37"/>
      <c r="BMU42" s="37"/>
      <c r="BMV42" s="37"/>
      <c r="BMW42" s="37"/>
      <c r="BMX42" s="37"/>
      <c r="BMY42" s="75"/>
      <c r="BMZ42" s="65"/>
      <c r="BNA42" s="65"/>
      <c r="BNB42" s="65"/>
      <c r="BNC42" s="65"/>
      <c r="BND42" s="37"/>
      <c r="BNE42" s="138"/>
      <c r="BNF42" s="37"/>
      <c r="BNG42" s="37"/>
      <c r="BNH42" s="37"/>
      <c r="BNI42" s="37"/>
      <c r="BNJ42" s="37"/>
      <c r="BNK42" s="75"/>
      <c r="BNL42" s="37"/>
      <c r="BNM42" s="37"/>
      <c r="BNN42" s="37"/>
      <c r="BNO42" s="37"/>
      <c r="BNP42" s="37"/>
      <c r="BNQ42" s="138"/>
      <c r="BNR42" s="37"/>
      <c r="BNS42" s="37"/>
      <c r="BNT42" s="37"/>
      <c r="BNU42" s="37"/>
      <c r="BNV42" s="37"/>
      <c r="BNW42" s="75"/>
      <c r="BNX42" s="37"/>
      <c r="BNY42" s="37"/>
      <c r="BNZ42" s="37"/>
      <c r="BOA42" s="37"/>
      <c r="BOB42" s="37"/>
      <c r="BOC42" s="38"/>
      <c r="BOD42" s="90"/>
    </row>
    <row r="43" spans="1:1746" ht="20.100000000000001" customHeight="1" x14ac:dyDescent="0.25">
      <c r="A43" s="100" t="s">
        <v>19</v>
      </c>
      <c r="B43" s="63" t="str">
        <f>IF(LEN(C71)=0,"",C71)</f>
        <v/>
      </c>
      <c r="C43" s="211" t="s">
        <v>63</v>
      </c>
      <c r="D43" s="146" t="str">
        <f t="shared" si="0"/>
        <v>0h30min</v>
      </c>
      <c r="E43" s="31">
        <v>6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183"/>
      <c r="EW43" s="183"/>
      <c r="EX43" s="183"/>
      <c r="EY43" s="184"/>
      <c r="EZ43" s="185"/>
      <c r="FA43" s="185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32"/>
      <c r="BJO43" s="64"/>
      <c r="BJP43" s="64"/>
      <c r="BJQ43" s="64"/>
      <c r="BJR43" s="33"/>
      <c r="BJS43" s="132"/>
      <c r="BJT43" s="33"/>
      <c r="BJU43" s="33"/>
      <c r="BJV43" s="33"/>
      <c r="BJW43" s="33"/>
      <c r="BJX43" s="33"/>
      <c r="BJY43" s="137"/>
      <c r="BJZ43" s="33"/>
      <c r="BKA43" s="33"/>
      <c r="BKB43" s="33"/>
      <c r="BKC43" s="33"/>
      <c r="BKD43" s="33"/>
      <c r="BKE43" s="74"/>
      <c r="BKF43" s="33"/>
      <c r="BKG43" s="33"/>
      <c r="BKH43" s="33"/>
      <c r="BKI43" s="33"/>
      <c r="BKJ43" s="33"/>
      <c r="BKK43" s="137"/>
      <c r="BKL43" s="33"/>
      <c r="BKM43" s="33"/>
      <c r="BKN43" s="33"/>
      <c r="BKO43" s="33"/>
      <c r="BKP43" s="33"/>
      <c r="BKQ43" s="74"/>
      <c r="BKR43" s="64"/>
      <c r="BKS43" s="64"/>
      <c r="BKT43" s="64"/>
      <c r="BKU43" s="64"/>
      <c r="BKV43" s="33"/>
      <c r="BKW43" s="137"/>
      <c r="BKX43" s="33"/>
      <c r="BKY43" s="33"/>
      <c r="BKZ43" s="33"/>
      <c r="BLA43" s="33"/>
      <c r="BLB43" s="33"/>
      <c r="BLC43" s="74"/>
      <c r="BLD43" s="33"/>
      <c r="BLE43" s="33"/>
      <c r="BLF43" s="33"/>
      <c r="BLG43" s="33"/>
      <c r="BLH43" s="33"/>
      <c r="BLI43" s="137"/>
      <c r="BLJ43" s="33"/>
      <c r="BLK43" s="33"/>
      <c r="BLL43" s="33"/>
      <c r="BLM43" s="33"/>
      <c r="BLN43" s="33"/>
      <c r="BLO43" s="74"/>
      <c r="BLP43" s="33"/>
      <c r="BLQ43" s="33"/>
      <c r="BLR43" s="33"/>
      <c r="BLS43" s="33"/>
      <c r="BLT43" s="33"/>
      <c r="BLU43" s="34"/>
      <c r="BLV43" s="32"/>
      <c r="BLW43" s="64"/>
      <c r="BLX43" s="64"/>
      <c r="BLY43" s="64"/>
      <c r="BLZ43" s="33"/>
      <c r="BMA43" s="132"/>
      <c r="BMB43" s="33"/>
      <c r="BMC43" s="33"/>
      <c r="BMD43" s="33"/>
      <c r="BME43" s="33"/>
      <c r="BMF43" s="33"/>
      <c r="BMG43" s="137"/>
      <c r="BMH43" s="33"/>
      <c r="BMI43" s="33"/>
      <c r="BMJ43" s="33"/>
      <c r="BMK43" s="33"/>
      <c r="BML43" s="33"/>
      <c r="BMM43" s="74"/>
      <c r="BMN43" s="33"/>
      <c r="BMO43" s="33"/>
      <c r="BMP43" s="33"/>
      <c r="BMQ43" s="33"/>
      <c r="BMR43" s="33"/>
      <c r="BMS43" s="137"/>
      <c r="BMT43" s="33"/>
      <c r="BMU43" s="33"/>
      <c r="BMV43" s="33"/>
      <c r="BMW43" s="33"/>
      <c r="BMX43" s="33"/>
      <c r="BMY43" s="74"/>
      <c r="BMZ43" s="64"/>
      <c r="BNA43" s="64"/>
      <c r="BNB43" s="64"/>
      <c r="BNC43" s="64"/>
      <c r="BND43" s="33"/>
      <c r="BNE43" s="137"/>
      <c r="BNF43" s="33"/>
      <c r="BNG43" s="33"/>
      <c r="BNH43" s="33"/>
      <c r="BNI43" s="33"/>
      <c r="BNJ43" s="33"/>
      <c r="BNK43" s="74"/>
      <c r="BNL43" s="33"/>
      <c r="BNM43" s="33"/>
      <c r="BNN43" s="33"/>
      <c r="BNO43" s="33"/>
      <c r="BNP43" s="33"/>
      <c r="BNQ43" s="137"/>
      <c r="BNR43" s="33"/>
      <c r="BNS43" s="33"/>
      <c r="BNT43" s="33"/>
      <c r="BNU43" s="33"/>
      <c r="BNV43" s="33"/>
      <c r="BNW43" s="74"/>
      <c r="BNX43" s="33"/>
      <c r="BNY43" s="33"/>
      <c r="BNZ43" s="33"/>
      <c r="BOA43" s="33"/>
      <c r="BOB43" s="33"/>
      <c r="BOC43" s="34"/>
      <c r="BOD43" s="90"/>
    </row>
    <row r="44" spans="1:1746" ht="20.100000000000001" customHeight="1" x14ac:dyDescent="0.3">
      <c r="A44" s="100" t="s">
        <v>20</v>
      </c>
      <c r="B44" s="63" t="str">
        <f>IF(LEN(C73)=0,"",C73)</f>
        <v/>
      </c>
      <c r="C44" s="213"/>
      <c r="D44" s="148" t="str">
        <f t="shared" si="0"/>
        <v>1h</v>
      </c>
      <c r="E44" s="35">
        <v>12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167"/>
      <c r="HC44" s="167"/>
      <c r="HD44" s="167"/>
      <c r="HE44" s="167"/>
      <c r="HF44" s="167"/>
      <c r="HG44" s="175"/>
      <c r="HH44" s="166"/>
      <c r="HI44" s="166"/>
      <c r="HJ44" s="166"/>
      <c r="HK44" s="166"/>
      <c r="HL44" s="167"/>
      <c r="HM44" s="170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36"/>
      <c r="BJO44" s="65"/>
      <c r="BJP44" s="65"/>
      <c r="BJQ44" s="65"/>
      <c r="BJR44" s="37"/>
      <c r="BJS44" s="133"/>
      <c r="BJT44" s="37"/>
      <c r="BJU44" s="37"/>
      <c r="BJV44" s="37"/>
      <c r="BJW44" s="37"/>
      <c r="BJX44" s="37"/>
      <c r="BJY44" s="138"/>
      <c r="BJZ44" s="37"/>
      <c r="BKA44" s="37"/>
      <c r="BKB44" s="37"/>
      <c r="BKC44" s="37"/>
      <c r="BKD44" s="37"/>
      <c r="BKE44" s="75"/>
      <c r="BKF44" s="37"/>
      <c r="BKG44" s="37"/>
      <c r="BKH44" s="37"/>
      <c r="BKI44" s="37"/>
      <c r="BKJ44" s="37"/>
      <c r="BKK44" s="138"/>
      <c r="BKL44" s="37"/>
      <c r="BKM44" s="37"/>
      <c r="BKN44" s="37"/>
      <c r="BKO44" s="37"/>
      <c r="BKP44" s="37"/>
      <c r="BKQ44" s="75"/>
      <c r="BKR44" s="65"/>
      <c r="BKS44" s="65"/>
      <c r="BKT44" s="65"/>
      <c r="BKU44" s="65"/>
      <c r="BKV44" s="37"/>
      <c r="BKW44" s="138"/>
      <c r="BKX44" s="37"/>
      <c r="BKY44" s="37"/>
      <c r="BKZ44" s="37"/>
      <c r="BLA44" s="37"/>
      <c r="BLB44" s="37"/>
      <c r="BLC44" s="75"/>
      <c r="BLD44" s="37"/>
      <c r="BLE44" s="37"/>
      <c r="BLF44" s="37"/>
      <c r="BLG44" s="37"/>
      <c r="BLH44" s="37"/>
      <c r="BLI44" s="138"/>
      <c r="BLJ44" s="37"/>
      <c r="BLK44" s="37"/>
      <c r="BLL44" s="37"/>
      <c r="BLM44" s="37"/>
      <c r="BLN44" s="37"/>
      <c r="BLO44" s="75"/>
      <c r="BLP44" s="37"/>
      <c r="BLQ44" s="37"/>
      <c r="BLR44" s="37"/>
      <c r="BLS44" s="37"/>
      <c r="BLT44" s="37"/>
      <c r="BLU44" s="38"/>
      <c r="BLV44" s="36"/>
      <c r="BLW44" s="65"/>
      <c r="BLX44" s="65"/>
      <c r="BLY44" s="65"/>
      <c r="BLZ44" s="37"/>
      <c r="BMA44" s="133"/>
      <c r="BMB44" s="37"/>
      <c r="BMC44" s="37"/>
      <c r="BMD44" s="37"/>
      <c r="BME44" s="37"/>
      <c r="BMF44" s="37"/>
      <c r="BMG44" s="138"/>
      <c r="BMH44" s="37"/>
      <c r="BMI44" s="37"/>
      <c r="BMJ44" s="37"/>
      <c r="BMK44" s="37"/>
      <c r="BML44" s="37"/>
      <c r="BMM44" s="75"/>
      <c r="BMN44" s="37"/>
      <c r="BMO44" s="37"/>
      <c r="BMP44" s="37"/>
      <c r="BMQ44" s="37"/>
      <c r="BMR44" s="37"/>
      <c r="BMS44" s="138"/>
      <c r="BMT44" s="37"/>
      <c r="BMU44" s="37"/>
      <c r="BMV44" s="37"/>
      <c r="BMW44" s="37"/>
      <c r="BMX44" s="37"/>
      <c r="BMY44" s="75"/>
      <c r="BMZ44" s="65"/>
      <c r="BNA44" s="65"/>
      <c r="BNB44" s="65"/>
      <c r="BNC44" s="65"/>
      <c r="BND44" s="37"/>
      <c r="BNE44" s="138"/>
      <c r="BNF44" s="37"/>
      <c r="BNG44" s="37"/>
      <c r="BNH44" s="37"/>
      <c r="BNI44" s="37"/>
      <c r="BNJ44" s="37"/>
      <c r="BNK44" s="75"/>
      <c r="BNL44" s="37"/>
      <c r="BNM44" s="37"/>
      <c r="BNN44" s="37"/>
      <c r="BNO44" s="37"/>
      <c r="BNP44" s="37"/>
      <c r="BNQ44" s="138"/>
      <c r="BNR44" s="37"/>
      <c r="BNS44" s="37"/>
      <c r="BNT44" s="37"/>
      <c r="BNU44" s="37"/>
      <c r="BNV44" s="37"/>
      <c r="BNW44" s="75"/>
      <c r="BNX44" s="37"/>
      <c r="BNY44" s="37"/>
      <c r="BNZ44" s="37"/>
      <c r="BOA44" s="37"/>
      <c r="BOB44" s="37"/>
      <c r="BOC44" s="38"/>
      <c r="BOD44" s="90"/>
    </row>
    <row r="45" spans="1:1746" ht="20.100000000000001" customHeight="1" x14ac:dyDescent="0.25">
      <c r="A45" s="100" t="s">
        <v>19</v>
      </c>
      <c r="B45" s="63" t="str">
        <f>IF(LEN(C75)=0,"",C75)</f>
        <v/>
      </c>
      <c r="C45" s="211" t="s">
        <v>64</v>
      </c>
      <c r="D45" s="146" t="str">
        <f t="shared" si="0"/>
        <v>3h</v>
      </c>
      <c r="E45" s="39">
        <v>36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177"/>
      <c r="GE45" s="178"/>
      <c r="GF45" s="178"/>
      <c r="GG45" s="178"/>
      <c r="GH45" s="179"/>
      <c r="GI45" s="180"/>
      <c r="GJ45" s="179"/>
      <c r="GK45" s="179"/>
      <c r="GL45" s="179"/>
      <c r="GM45" s="179"/>
      <c r="GN45" s="179"/>
      <c r="GO45" s="181"/>
      <c r="GP45" s="179"/>
      <c r="GQ45" s="179"/>
      <c r="GR45" s="179"/>
      <c r="GS45" s="179"/>
      <c r="GT45" s="179"/>
      <c r="GU45" s="182"/>
      <c r="GV45" s="179"/>
      <c r="GW45" s="179"/>
      <c r="GX45" s="179"/>
      <c r="GY45" s="179"/>
      <c r="GZ45" s="179"/>
      <c r="HA45" s="181"/>
      <c r="HB45" s="179"/>
      <c r="HC45" s="179"/>
      <c r="HD45" s="179"/>
      <c r="HE45" s="179"/>
      <c r="HF45" s="179"/>
      <c r="HG45" s="182"/>
      <c r="HH45" s="178"/>
      <c r="HI45" s="178"/>
      <c r="HJ45" s="178"/>
      <c r="HK45" s="178"/>
      <c r="HL45" s="179"/>
      <c r="HM45" s="181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40"/>
      <c r="BJO45" s="66"/>
      <c r="BJP45" s="66"/>
      <c r="BJQ45" s="66"/>
      <c r="BJR45" s="41"/>
      <c r="BJS45" s="134"/>
      <c r="BJT45" s="41"/>
      <c r="BJU45" s="41"/>
      <c r="BJV45" s="41"/>
      <c r="BJW45" s="41"/>
      <c r="BJX45" s="41"/>
      <c r="BJY45" s="139"/>
      <c r="BJZ45" s="41"/>
      <c r="BKA45" s="41"/>
      <c r="BKB45" s="41"/>
      <c r="BKC45" s="41"/>
      <c r="BKD45" s="41"/>
      <c r="BKE45" s="76"/>
      <c r="BKF45" s="41"/>
      <c r="BKG45" s="41"/>
      <c r="BKH45" s="41"/>
      <c r="BKI45" s="41"/>
      <c r="BKJ45" s="41"/>
      <c r="BKK45" s="139"/>
      <c r="BKL45" s="41"/>
      <c r="BKM45" s="41"/>
      <c r="BKN45" s="41"/>
      <c r="BKO45" s="41"/>
      <c r="BKP45" s="41"/>
      <c r="BKQ45" s="76"/>
      <c r="BKR45" s="66"/>
      <c r="BKS45" s="66"/>
      <c r="BKT45" s="66"/>
      <c r="BKU45" s="66"/>
      <c r="BKV45" s="41"/>
      <c r="BKW45" s="139"/>
      <c r="BKX45" s="41"/>
      <c r="BKY45" s="41"/>
      <c r="BKZ45" s="41"/>
      <c r="BLA45" s="41"/>
      <c r="BLB45" s="41"/>
      <c r="BLC45" s="76"/>
      <c r="BLD45" s="41"/>
      <c r="BLE45" s="41"/>
      <c r="BLF45" s="41"/>
      <c r="BLG45" s="41"/>
      <c r="BLH45" s="41"/>
      <c r="BLI45" s="139"/>
      <c r="BLJ45" s="41"/>
      <c r="BLK45" s="41"/>
      <c r="BLL45" s="41"/>
      <c r="BLM45" s="41"/>
      <c r="BLN45" s="41"/>
      <c r="BLO45" s="76"/>
      <c r="BLP45" s="41"/>
      <c r="BLQ45" s="41"/>
      <c r="BLR45" s="41"/>
      <c r="BLS45" s="41"/>
      <c r="BLT45" s="41"/>
      <c r="BLU45" s="42"/>
      <c r="BLV45" s="40"/>
      <c r="BLW45" s="66"/>
      <c r="BLX45" s="66"/>
      <c r="BLY45" s="66"/>
      <c r="BLZ45" s="41"/>
      <c r="BMA45" s="134"/>
      <c r="BMB45" s="41"/>
      <c r="BMC45" s="41"/>
      <c r="BMD45" s="41"/>
      <c r="BME45" s="41"/>
      <c r="BMF45" s="41"/>
      <c r="BMG45" s="139"/>
      <c r="BMH45" s="41"/>
      <c r="BMI45" s="41"/>
      <c r="BMJ45" s="41"/>
      <c r="BMK45" s="41"/>
      <c r="BML45" s="41"/>
      <c r="BMM45" s="76"/>
      <c r="BMN45" s="41"/>
      <c r="BMO45" s="41"/>
      <c r="BMP45" s="41"/>
      <c r="BMQ45" s="41"/>
      <c r="BMR45" s="41"/>
      <c r="BMS45" s="139"/>
      <c r="BMT45" s="41"/>
      <c r="BMU45" s="41"/>
      <c r="BMV45" s="41"/>
      <c r="BMW45" s="41"/>
      <c r="BMX45" s="41"/>
      <c r="BMY45" s="76"/>
      <c r="BMZ45" s="66"/>
      <c r="BNA45" s="66"/>
      <c r="BNB45" s="66"/>
      <c r="BNC45" s="66"/>
      <c r="BND45" s="41"/>
      <c r="BNE45" s="139"/>
      <c r="BNF45" s="41"/>
      <c r="BNG45" s="41"/>
      <c r="BNH45" s="41"/>
      <c r="BNI45" s="41"/>
      <c r="BNJ45" s="41"/>
      <c r="BNK45" s="76"/>
      <c r="BNL45" s="41"/>
      <c r="BNM45" s="41"/>
      <c r="BNN45" s="41"/>
      <c r="BNO45" s="41"/>
      <c r="BNP45" s="41"/>
      <c r="BNQ45" s="139"/>
      <c r="BNR45" s="41"/>
      <c r="BNS45" s="41"/>
      <c r="BNT45" s="41"/>
      <c r="BNU45" s="41"/>
      <c r="BNV45" s="41"/>
      <c r="BNW45" s="76"/>
      <c r="BNX45" s="41"/>
      <c r="BNY45" s="41"/>
      <c r="BNZ45" s="41"/>
      <c r="BOA45" s="41"/>
      <c r="BOB45" s="41"/>
      <c r="BOC45" s="42"/>
      <c r="BOD45" s="90"/>
    </row>
    <row r="46" spans="1:1746" ht="20.100000000000001" customHeight="1" x14ac:dyDescent="0.25">
      <c r="A46" s="100" t="s">
        <v>20</v>
      </c>
      <c r="B46" s="63" t="str">
        <f>IF(LEN(C77)=0,"",C77)</f>
        <v/>
      </c>
      <c r="C46" s="213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36"/>
      <c r="BJO46" s="65"/>
      <c r="BJP46" s="65"/>
      <c r="BJQ46" s="65"/>
      <c r="BJR46" s="37"/>
      <c r="BJS46" s="133"/>
      <c r="BJT46" s="37"/>
      <c r="BJU46" s="37"/>
      <c r="BJV46" s="37"/>
      <c r="BJW46" s="37"/>
      <c r="BJX46" s="37"/>
      <c r="BJY46" s="138"/>
      <c r="BJZ46" s="37"/>
      <c r="BKA46" s="37"/>
      <c r="BKB46" s="37"/>
      <c r="BKC46" s="37"/>
      <c r="BKD46" s="37"/>
      <c r="BKE46" s="75"/>
      <c r="BKF46" s="37"/>
      <c r="BKG46" s="37"/>
      <c r="BKH46" s="37"/>
      <c r="BKI46" s="37"/>
      <c r="BKJ46" s="37"/>
      <c r="BKK46" s="138"/>
      <c r="BKL46" s="37"/>
      <c r="BKM46" s="37"/>
      <c r="BKN46" s="37"/>
      <c r="BKO46" s="37"/>
      <c r="BKP46" s="37"/>
      <c r="BKQ46" s="75"/>
      <c r="BKR46" s="65"/>
      <c r="BKS46" s="65"/>
      <c r="BKT46" s="65"/>
      <c r="BKU46" s="65"/>
      <c r="BKV46" s="37"/>
      <c r="BKW46" s="138"/>
      <c r="BKX46" s="37"/>
      <c r="BKY46" s="37"/>
      <c r="BKZ46" s="37"/>
      <c r="BLA46" s="37"/>
      <c r="BLB46" s="37"/>
      <c r="BLC46" s="75"/>
      <c r="BLD46" s="37"/>
      <c r="BLE46" s="37"/>
      <c r="BLF46" s="37"/>
      <c r="BLG46" s="37"/>
      <c r="BLH46" s="37"/>
      <c r="BLI46" s="138"/>
      <c r="BLJ46" s="37"/>
      <c r="BLK46" s="37"/>
      <c r="BLL46" s="37"/>
      <c r="BLM46" s="37"/>
      <c r="BLN46" s="37"/>
      <c r="BLO46" s="75"/>
      <c r="BLP46" s="37"/>
      <c r="BLQ46" s="37"/>
      <c r="BLR46" s="37"/>
      <c r="BLS46" s="37"/>
      <c r="BLT46" s="37"/>
      <c r="BLU46" s="38"/>
      <c r="BLV46" s="36"/>
      <c r="BLW46" s="65"/>
      <c r="BLX46" s="65"/>
      <c r="BLY46" s="65"/>
      <c r="BLZ46" s="37"/>
      <c r="BMA46" s="133"/>
      <c r="BMB46" s="37"/>
      <c r="BMC46" s="37"/>
      <c r="BMD46" s="37"/>
      <c r="BME46" s="37"/>
      <c r="BMF46" s="37"/>
      <c r="BMG46" s="138"/>
      <c r="BMH46" s="37"/>
      <c r="BMI46" s="37"/>
      <c r="BMJ46" s="37"/>
      <c r="BMK46" s="37"/>
      <c r="BML46" s="37"/>
      <c r="BMM46" s="75"/>
      <c r="BMN46" s="37"/>
      <c r="BMO46" s="37"/>
      <c r="BMP46" s="37"/>
      <c r="BMQ46" s="37"/>
      <c r="BMR46" s="37"/>
      <c r="BMS46" s="138"/>
      <c r="BMT46" s="37"/>
      <c r="BMU46" s="37"/>
      <c r="BMV46" s="37"/>
      <c r="BMW46" s="37"/>
      <c r="BMX46" s="37"/>
      <c r="BMY46" s="75"/>
      <c r="BMZ46" s="65"/>
      <c r="BNA46" s="65"/>
      <c r="BNB46" s="65"/>
      <c r="BNC46" s="65"/>
      <c r="BND46" s="37"/>
      <c r="BNE46" s="138"/>
      <c r="BNF46" s="37"/>
      <c r="BNG46" s="37"/>
      <c r="BNH46" s="37"/>
      <c r="BNI46" s="37"/>
      <c r="BNJ46" s="37"/>
      <c r="BNK46" s="75"/>
      <c r="BNL46" s="37"/>
      <c r="BNM46" s="37"/>
      <c r="BNN46" s="37"/>
      <c r="BNO46" s="37"/>
      <c r="BNP46" s="37"/>
      <c r="BNQ46" s="138"/>
      <c r="BNR46" s="37"/>
      <c r="BNS46" s="37"/>
      <c r="BNT46" s="37"/>
      <c r="BNU46" s="37"/>
      <c r="BNV46" s="37"/>
      <c r="BNW46" s="75"/>
      <c r="BNX46" s="37"/>
      <c r="BNY46" s="37"/>
      <c r="BNZ46" s="37"/>
      <c r="BOA46" s="37"/>
      <c r="BOB46" s="37"/>
      <c r="BOC46" s="38"/>
      <c r="BOD46" s="90"/>
    </row>
    <row r="47" spans="1:1746" ht="20.100000000000001" customHeight="1" x14ac:dyDescent="0.25">
      <c r="A47" s="100" t="s">
        <v>19</v>
      </c>
      <c r="B47" s="63" t="str">
        <f>IF(LEN(C79)=0,"",C79)</f>
        <v/>
      </c>
      <c r="C47" s="211" t="s">
        <v>65</v>
      </c>
      <c r="D47" s="146" t="str">
        <f t="shared" si="0"/>
        <v>10h40min</v>
      </c>
      <c r="E47" s="39">
        <v>128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177"/>
      <c r="KU47" s="178"/>
      <c r="KV47" s="178"/>
      <c r="KW47" s="178"/>
      <c r="KX47" s="179"/>
      <c r="KY47" s="180"/>
      <c r="KZ47" s="179"/>
      <c r="LA47" s="179"/>
      <c r="LB47" s="179"/>
      <c r="LC47" s="179"/>
      <c r="LD47" s="179"/>
      <c r="LE47" s="181"/>
      <c r="LF47" s="179"/>
      <c r="LG47" s="179"/>
      <c r="LH47" s="179"/>
      <c r="LI47" s="179"/>
      <c r="LJ47" s="179"/>
      <c r="LK47" s="182"/>
      <c r="LL47" s="179"/>
      <c r="LM47" s="179"/>
      <c r="LN47" s="179"/>
      <c r="LO47" s="179"/>
      <c r="LP47" s="179"/>
      <c r="LQ47" s="181"/>
      <c r="LR47" s="179"/>
      <c r="LS47" s="179"/>
      <c r="LT47" s="179"/>
      <c r="LU47" s="179"/>
      <c r="LV47" s="179"/>
      <c r="LW47" s="182"/>
      <c r="LX47" s="178"/>
      <c r="LY47" s="178"/>
      <c r="LZ47" s="178"/>
      <c r="MA47" s="178"/>
      <c r="MB47" s="179"/>
      <c r="MC47" s="181"/>
      <c r="MD47" s="179"/>
      <c r="ME47" s="179"/>
      <c r="MF47" s="179"/>
      <c r="MG47" s="179"/>
      <c r="MH47" s="179"/>
      <c r="MI47" s="182"/>
      <c r="MJ47" s="179"/>
      <c r="MK47" s="179"/>
      <c r="ML47" s="179"/>
      <c r="MM47" s="179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177"/>
      <c r="NC47" s="178"/>
      <c r="ND47" s="178"/>
      <c r="NE47" s="178"/>
      <c r="NF47" s="179"/>
      <c r="NG47" s="180"/>
      <c r="NH47" s="179"/>
      <c r="NI47" s="179"/>
      <c r="NJ47" s="179"/>
      <c r="NK47" s="179"/>
      <c r="NL47" s="179"/>
      <c r="NM47" s="181"/>
      <c r="NN47" s="179"/>
      <c r="NO47" s="179"/>
      <c r="NP47" s="179"/>
      <c r="NQ47" s="179"/>
      <c r="NR47" s="179"/>
      <c r="NS47" s="182"/>
      <c r="NT47" s="179"/>
      <c r="NU47" s="179"/>
      <c r="NV47" s="179"/>
      <c r="NW47" s="179"/>
      <c r="NX47" s="179"/>
      <c r="NY47" s="181"/>
      <c r="NZ47" s="179"/>
      <c r="OA47" s="179"/>
      <c r="OB47" s="179"/>
      <c r="OC47" s="179"/>
      <c r="OD47" s="179"/>
      <c r="OE47" s="182"/>
      <c r="OF47" s="178"/>
      <c r="OG47" s="178"/>
      <c r="OH47" s="178"/>
      <c r="OI47" s="178"/>
      <c r="OJ47" s="179"/>
      <c r="OK47" s="181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177"/>
      <c r="PK47" s="178"/>
      <c r="PL47" s="178"/>
      <c r="PM47" s="178"/>
      <c r="PN47" s="179"/>
      <c r="PO47" s="180"/>
      <c r="PP47" s="179"/>
      <c r="PQ47" s="179"/>
      <c r="PR47" s="179"/>
      <c r="PS47" s="179"/>
      <c r="PT47" s="179"/>
      <c r="PU47" s="181"/>
      <c r="PV47" s="179"/>
      <c r="PW47" s="179"/>
      <c r="PX47" s="179"/>
      <c r="PY47" s="179"/>
      <c r="PZ47" s="179"/>
      <c r="QA47" s="182"/>
      <c r="QB47" s="179"/>
      <c r="QC47" s="179"/>
      <c r="QD47" s="179"/>
      <c r="QE47" s="179"/>
      <c r="QF47" s="179"/>
      <c r="QG47" s="181"/>
      <c r="QH47" s="179"/>
      <c r="QI47" s="179"/>
      <c r="QJ47" s="179"/>
      <c r="QK47" s="179"/>
      <c r="QL47" s="179"/>
      <c r="QM47" s="182"/>
      <c r="QN47" s="178"/>
      <c r="QO47" s="178"/>
      <c r="QP47" s="178"/>
      <c r="QQ47" s="178"/>
      <c r="QR47" s="179"/>
      <c r="QS47" s="181"/>
      <c r="QT47" s="179"/>
      <c r="QU47" s="179"/>
      <c r="QV47" s="179"/>
      <c r="QW47" s="179"/>
      <c r="QX47" s="179"/>
      <c r="QY47" s="182"/>
      <c r="QZ47" s="179"/>
      <c r="RA47" s="179"/>
      <c r="RB47" s="179"/>
      <c r="RC47" s="179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40"/>
      <c r="BJO47" s="66"/>
      <c r="BJP47" s="66"/>
      <c r="BJQ47" s="66"/>
      <c r="BJR47" s="41"/>
      <c r="BJS47" s="134"/>
      <c r="BJT47" s="41"/>
      <c r="BJU47" s="41"/>
      <c r="BJV47" s="41"/>
      <c r="BJW47" s="41"/>
      <c r="BJX47" s="41"/>
      <c r="BJY47" s="139"/>
      <c r="BJZ47" s="41"/>
      <c r="BKA47" s="41"/>
      <c r="BKB47" s="41"/>
      <c r="BKC47" s="41"/>
      <c r="BKD47" s="41"/>
      <c r="BKE47" s="76"/>
      <c r="BKF47" s="41"/>
      <c r="BKG47" s="41"/>
      <c r="BKH47" s="41"/>
      <c r="BKI47" s="41"/>
      <c r="BKJ47" s="41"/>
      <c r="BKK47" s="139"/>
      <c r="BKL47" s="41"/>
      <c r="BKM47" s="41"/>
      <c r="BKN47" s="41"/>
      <c r="BKO47" s="41"/>
      <c r="BKP47" s="41"/>
      <c r="BKQ47" s="76"/>
      <c r="BKR47" s="66"/>
      <c r="BKS47" s="66"/>
      <c r="BKT47" s="66"/>
      <c r="BKU47" s="66"/>
      <c r="BKV47" s="41"/>
      <c r="BKW47" s="139"/>
      <c r="BKX47" s="41"/>
      <c r="BKY47" s="41"/>
      <c r="BKZ47" s="41"/>
      <c r="BLA47" s="41"/>
      <c r="BLB47" s="41"/>
      <c r="BLC47" s="76"/>
      <c r="BLD47" s="41"/>
      <c r="BLE47" s="41"/>
      <c r="BLF47" s="41"/>
      <c r="BLG47" s="41"/>
      <c r="BLH47" s="41"/>
      <c r="BLI47" s="139"/>
      <c r="BLJ47" s="41"/>
      <c r="BLK47" s="41"/>
      <c r="BLL47" s="41"/>
      <c r="BLM47" s="41"/>
      <c r="BLN47" s="41"/>
      <c r="BLO47" s="76"/>
      <c r="BLP47" s="41"/>
      <c r="BLQ47" s="41"/>
      <c r="BLR47" s="41"/>
      <c r="BLS47" s="41"/>
      <c r="BLT47" s="41"/>
      <c r="BLU47" s="42"/>
      <c r="BLV47" s="40"/>
      <c r="BLW47" s="66"/>
      <c r="BLX47" s="66"/>
      <c r="BLY47" s="66"/>
      <c r="BLZ47" s="41"/>
      <c r="BMA47" s="134"/>
      <c r="BMB47" s="41"/>
      <c r="BMC47" s="41"/>
      <c r="BMD47" s="41"/>
      <c r="BME47" s="41"/>
      <c r="BMF47" s="41"/>
      <c r="BMG47" s="139"/>
      <c r="BMH47" s="41"/>
      <c r="BMI47" s="41"/>
      <c r="BMJ47" s="41"/>
      <c r="BMK47" s="41"/>
      <c r="BML47" s="41"/>
      <c r="BMM47" s="76"/>
      <c r="BMN47" s="41"/>
      <c r="BMO47" s="41"/>
      <c r="BMP47" s="41"/>
      <c r="BMQ47" s="41"/>
      <c r="BMR47" s="41"/>
      <c r="BMS47" s="139"/>
      <c r="BMT47" s="41"/>
      <c r="BMU47" s="41"/>
      <c r="BMV47" s="41"/>
      <c r="BMW47" s="41"/>
      <c r="BMX47" s="41"/>
      <c r="BMY47" s="76"/>
      <c r="BMZ47" s="66"/>
      <c r="BNA47" s="66"/>
      <c r="BNB47" s="66"/>
      <c r="BNC47" s="66"/>
      <c r="BND47" s="41"/>
      <c r="BNE47" s="139"/>
      <c r="BNF47" s="41"/>
      <c r="BNG47" s="41"/>
      <c r="BNH47" s="41"/>
      <c r="BNI47" s="41"/>
      <c r="BNJ47" s="41"/>
      <c r="BNK47" s="76"/>
      <c r="BNL47" s="41"/>
      <c r="BNM47" s="41"/>
      <c r="BNN47" s="41"/>
      <c r="BNO47" s="41"/>
      <c r="BNP47" s="41"/>
      <c r="BNQ47" s="139"/>
      <c r="BNR47" s="41"/>
      <c r="BNS47" s="41"/>
      <c r="BNT47" s="41"/>
      <c r="BNU47" s="41"/>
      <c r="BNV47" s="41"/>
      <c r="BNW47" s="76"/>
      <c r="BNX47" s="41"/>
      <c r="BNY47" s="41"/>
      <c r="BNZ47" s="41"/>
      <c r="BOA47" s="41"/>
      <c r="BOB47" s="41"/>
      <c r="BOC47" s="42"/>
      <c r="BOD47" s="90"/>
    </row>
    <row r="48" spans="1:1746" ht="20.100000000000001" customHeight="1" x14ac:dyDescent="0.3">
      <c r="A48" s="100" t="s">
        <v>20</v>
      </c>
      <c r="B48" s="63" t="str">
        <f>IF(LEN(C81)=0,"",C81)</f>
        <v/>
      </c>
      <c r="C48" s="212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28"/>
      <c r="BJO48" s="67"/>
      <c r="BJP48" s="67"/>
      <c r="BJQ48" s="67"/>
      <c r="BJR48" s="29"/>
      <c r="BJS48" s="131"/>
      <c r="BJT48" s="29"/>
      <c r="BJU48" s="29"/>
      <c r="BJV48" s="29"/>
      <c r="BJW48" s="29"/>
      <c r="BJX48" s="29"/>
      <c r="BJY48" s="136"/>
      <c r="BJZ48" s="29"/>
      <c r="BKA48" s="29"/>
      <c r="BKB48" s="29"/>
      <c r="BKC48" s="29"/>
      <c r="BKD48" s="29"/>
      <c r="BKE48" s="73"/>
      <c r="BKF48" s="29"/>
      <c r="BKG48" s="29"/>
      <c r="BKH48" s="29"/>
      <c r="BKI48" s="29"/>
      <c r="BKJ48" s="29"/>
      <c r="BKK48" s="136"/>
      <c r="BKL48" s="29"/>
      <c r="BKM48" s="29"/>
      <c r="BKN48" s="29"/>
      <c r="BKO48" s="29"/>
      <c r="BKP48" s="29"/>
      <c r="BKQ48" s="73"/>
      <c r="BKR48" s="67"/>
      <c r="BKS48" s="67"/>
      <c r="BKT48" s="67"/>
      <c r="BKU48" s="67"/>
      <c r="BKV48" s="29"/>
      <c r="BKW48" s="136"/>
      <c r="BKX48" s="29"/>
      <c r="BKY48" s="29"/>
      <c r="BKZ48" s="29"/>
      <c r="BLA48" s="29"/>
      <c r="BLB48" s="29"/>
      <c r="BLC48" s="73"/>
      <c r="BLD48" s="29"/>
      <c r="BLE48" s="29"/>
      <c r="BLF48" s="29"/>
      <c r="BLG48" s="29"/>
      <c r="BLH48" s="29"/>
      <c r="BLI48" s="136"/>
      <c r="BLJ48" s="29"/>
      <c r="BLK48" s="29"/>
      <c r="BLL48" s="29"/>
      <c r="BLM48" s="29"/>
      <c r="BLN48" s="29"/>
      <c r="BLO48" s="73"/>
      <c r="BLP48" s="29"/>
      <c r="BLQ48" s="29"/>
      <c r="BLR48" s="29"/>
      <c r="BLS48" s="29"/>
      <c r="BLT48" s="29"/>
      <c r="BLU48" s="30"/>
      <c r="BLV48" s="28"/>
      <c r="BLW48" s="67"/>
      <c r="BLX48" s="67"/>
      <c r="BLY48" s="67"/>
      <c r="BLZ48" s="29"/>
      <c r="BMA48" s="131"/>
      <c r="BMB48" s="29"/>
      <c r="BMC48" s="29"/>
      <c r="BMD48" s="29"/>
      <c r="BME48" s="29"/>
      <c r="BMF48" s="29"/>
      <c r="BMG48" s="136"/>
      <c r="BMH48" s="29"/>
      <c r="BMI48" s="29"/>
      <c r="BMJ48" s="29"/>
      <c r="BMK48" s="29"/>
      <c r="BML48" s="29"/>
      <c r="BMM48" s="73"/>
      <c r="BMN48" s="29"/>
      <c r="BMO48" s="29"/>
      <c r="BMP48" s="29"/>
      <c r="BMQ48" s="29"/>
      <c r="BMR48" s="29"/>
      <c r="BMS48" s="136"/>
      <c r="BMT48" s="29"/>
      <c r="BMU48" s="29"/>
      <c r="BMV48" s="29"/>
      <c r="BMW48" s="29"/>
      <c r="BMX48" s="29"/>
      <c r="BMY48" s="73"/>
      <c r="BMZ48" s="67"/>
      <c r="BNA48" s="67"/>
      <c r="BNB48" s="67"/>
      <c r="BNC48" s="67"/>
      <c r="BND48" s="29"/>
      <c r="BNE48" s="136"/>
      <c r="BNF48" s="29"/>
      <c r="BNG48" s="29"/>
      <c r="BNH48" s="29"/>
      <c r="BNI48" s="29"/>
      <c r="BNJ48" s="29"/>
      <c r="BNK48" s="73"/>
      <c r="BNL48" s="29"/>
      <c r="BNM48" s="29"/>
      <c r="BNN48" s="29"/>
      <c r="BNO48" s="29"/>
      <c r="BNP48" s="29"/>
      <c r="BNQ48" s="136"/>
      <c r="BNR48" s="29"/>
      <c r="BNS48" s="29"/>
      <c r="BNT48" s="29"/>
      <c r="BNU48" s="29"/>
      <c r="BNV48" s="29"/>
      <c r="BNW48" s="73"/>
      <c r="BNX48" s="29"/>
      <c r="BNY48" s="29"/>
      <c r="BNZ48" s="29"/>
      <c r="BOA48" s="29"/>
      <c r="BOB48" s="29"/>
      <c r="BOC48" s="30"/>
      <c r="BOD48" s="90"/>
    </row>
    <row r="49" spans="1:1746" ht="20.100000000000001" customHeight="1" x14ac:dyDescent="0.25">
      <c r="A49" s="100" t="s">
        <v>19</v>
      </c>
      <c r="B49" s="63" t="str">
        <f>IF(LEN(C83)=0,"",C83)</f>
        <v/>
      </c>
      <c r="C49" s="211" t="s">
        <v>67</v>
      </c>
      <c r="D49" s="146" t="str">
        <f t="shared" si="0"/>
        <v>0h50min</v>
      </c>
      <c r="E49" s="31">
        <v>10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183"/>
      <c r="SI49" s="184"/>
      <c r="SJ49" s="183"/>
      <c r="SK49" s="183"/>
      <c r="SL49" s="183"/>
      <c r="SM49" s="183"/>
      <c r="SN49" s="183"/>
      <c r="SO49" s="186"/>
      <c r="SP49" s="183"/>
      <c r="SQ49" s="18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32"/>
      <c r="BJO49" s="64"/>
      <c r="BJP49" s="64"/>
      <c r="BJQ49" s="64"/>
      <c r="BJR49" s="33"/>
      <c r="BJS49" s="132"/>
      <c r="BJT49" s="33"/>
      <c r="BJU49" s="33"/>
      <c r="BJV49" s="33"/>
      <c r="BJW49" s="33"/>
      <c r="BJX49" s="33"/>
      <c r="BJY49" s="137"/>
      <c r="BJZ49" s="33"/>
      <c r="BKA49" s="33"/>
      <c r="BKB49" s="33"/>
      <c r="BKC49" s="33"/>
      <c r="BKD49" s="33"/>
      <c r="BKE49" s="74"/>
      <c r="BKF49" s="33"/>
      <c r="BKG49" s="33"/>
      <c r="BKH49" s="33"/>
      <c r="BKI49" s="33"/>
      <c r="BKJ49" s="33"/>
      <c r="BKK49" s="137"/>
      <c r="BKL49" s="33"/>
      <c r="BKM49" s="33"/>
      <c r="BKN49" s="33"/>
      <c r="BKO49" s="33"/>
      <c r="BKP49" s="33"/>
      <c r="BKQ49" s="74"/>
      <c r="BKR49" s="64"/>
      <c r="BKS49" s="64"/>
      <c r="BKT49" s="64"/>
      <c r="BKU49" s="64"/>
      <c r="BKV49" s="33"/>
      <c r="BKW49" s="137"/>
      <c r="BKX49" s="33"/>
      <c r="BKY49" s="33"/>
      <c r="BKZ49" s="33"/>
      <c r="BLA49" s="33"/>
      <c r="BLB49" s="33"/>
      <c r="BLC49" s="74"/>
      <c r="BLD49" s="33"/>
      <c r="BLE49" s="33"/>
      <c r="BLF49" s="33"/>
      <c r="BLG49" s="33"/>
      <c r="BLH49" s="33"/>
      <c r="BLI49" s="137"/>
      <c r="BLJ49" s="33"/>
      <c r="BLK49" s="33"/>
      <c r="BLL49" s="33"/>
      <c r="BLM49" s="33"/>
      <c r="BLN49" s="33"/>
      <c r="BLO49" s="74"/>
      <c r="BLP49" s="33"/>
      <c r="BLQ49" s="33"/>
      <c r="BLR49" s="33"/>
      <c r="BLS49" s="33"/>
      <c r="BLT49" s="33"/>
      <c r="BLU49" s="34"/>
      <c r="BLV49" s="32"/>
      <c r="BLW49" s="64"/>
      <c r="BLX49" s="64"/>
      <c r="BLY49" s="64"/>
      <c r="BLZ49" s="33"/>
      <c r="BMA49" s="132"/>
      <c r="BMB49" s="33"/>
      <c r="BMC49" s="33"/>
      <c r="BMD49" s="33"/>
      <c r="BME49" s="33"/>
      <c r="BMF49" s="33"/>
      <c r="BMG49" s="137"/>
      <c r="BMH49" s="33"/>
      <c r="BMI49" s="33"/>
      <c r="BMJ49" s="33"/>
      <c r="BMK49" s="33"/>
      <c r="BML49" s="33"/>
      <c r="BMM49" s="74"/>
      <c r="BMN49" s="33"/>
      <c r="BMO49" s="33"/>
      <c r="BMP49" s="33"/>
      <c r="BMQ49" s="33"/>
      <c r="BMR49" s="33"/>
      <c r="BMS49" s="137"/>
      <c r="BMT49" s="33"/>
      <c r="BMU49" s="33"/>
      <c r="BMV49" s="33"/>
      <c r="BMW49" s="33"/>
      <c r="BMX49" s="33"/>
      <c r="BMY49" s="74"/>
      <c r="BMZ49" s="64"/>
      <c r="BNA49" s="64"/>
      <c r="BNB49" s="64"/>
      <c r="BNC49" s="64"/>
      <c r="BND49" s="33"/>
      <c r="BNE49" s="137"/>
      <c r="BNF49" s="33"/>
      <c r="BNG49" s="33"/>
      <c r="BNH49" s="33"/>
      <c r="BNI49" s="33"/>
      <c r="BNJ49" s="33"/>
      <c r="BNK49" s="74"/>
      <c r="BNL49" s="33"/>
      <c r="BNM49" s="33"/>
      <c r="BNN49" s="33"/>
      <c r="BNO49" s="33"/>
      <c r="BNP49" s="33"/>
      <c r="BNQ49" s="137"/>
      <c r="BNR49" s="33"/>
      <c r="BNS49" s="33"/>
      <c r="BNT49" s="33"/>
      <c r="BNU49" s="33"/>
      <c r="BNV49" s="33"/>
      <c r="BNW49" s="74"/>
      <c r="BNX49" s="33"/>
      <c r="BNY49" s="33"/>
      <c r="BNZ49" s="33"/>
      <c r="BOA49" s="33"/>
      <c r="BOB49" s="33"/>
      <c r="BOC49" s="34"/>
      <c r="BOD49" s="90"/>
    </row>
    <row r="50" spans="1:1746" ht="20.100000000000001" customHeight="1" x14ac:dyDescent="0.3">
      <c r="A50" s="100" t="s">
        <v>20</v>
      </c>
      <c r="B50" s="63" t="str">
        <f>IF(LEN(C85)=0,"",C85)</f>
        <v/>
      </c>
      <c r="C50" s="213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36"/>
      <c r="BJO50" s="65"/>
      <c r="BJP50" s="65"/>
      <c r="BJQ50" s="65"/>
      <c r="BJR50" s="37"/>
      <c r="BJS50" s="133"/>
      <c r="BJT50" s="37"/>
      <c r="BJU50" s="37"/>
      <c r="BJV50" s="37"/>
      <c r="BJW50" s="37"/>
      <c r="BJX50" s="37"/>
      <c r="BJY50" s="138"/>
      <c r="BJZ50" s="37"/>
      <c r="BKA50" s="37"/>
      <c r="BKB50" s="37"/>
      <c r="BKC50" s="37"/>
      <c r="BKD50" s="37"/>
      <c r="BKE50" s="75"/>
      <c r="BKF50" s="37"/>
      <c r="BKG50" s="37"/>
      <c r="BKH50" s="37"/>
      <c r="BKI50" s="37"/>
      <c r="BKJ50" s="37"/>
      <c r="BKK50" s="138"/>
      <c r="BKL50" s="37"/>
      <c r="BKM50" s="37"/>
      <c r="BKN50" s="37"/>
      <c r="BKO50" s="37"/>
      <c r="BKP50" s="37"/>
      <c r="BKQ50" s="75"/>
      <c r="BKR50" s="65"/>
      <c r="BKS50" s="65"/>
      <c r="BKT50" s="65"/>
      <c r="BKU50" s="65"/>
      <c r="BKV50" s="37"/>
      <c r="BKW50" s="138"/>
      <c r="BKX50" s="37"/>
      <c r="BKY50" s="37"/>
      <c r="BKZ50" s="37"/>
      <c r="BLA50" s="37"/>
      <c r="BLB50" s="37"/>
      <c r="BLC50" s="75"/>
      <c r="BLD50" s="37"/>
      <c r="BLE50" s="37"/>
      <c r="BLF50" s="37"/>
      <c r="BLG50" s="37"/>
      <c r="BLH50" s="37"/>
      <c r="BLI50" s="138"/>
      <c r="BLJ50" s="37"/>
      <c r="BLK50" s="37"/>
      <c r="BLL50" s="37"/>
      <c r="BLM50" s="37"/>
      <c r="BLN50" s="37"/>
      <c r="BLO50" s="75"/>
      <c r="BLP50" s="37"/>
      <c r="BLQ50" s="37"/>
      <c r="BLR50" s="37"/>
      <c r="BLS50" s="37"/>
      <c r="BLT50" s="37"/>
      <c r="BLU50" s="38"/>
      <c r="BLV50" s="36"/>
      <c r="BLW50" s="65"/>
      <c r="BLX50" s="65"/>
      <c r="BLY50" s="65"/>
      <c r="BLZ50" s="37"/>
      <c r="BMA50" s="133"/>
      <c r="BMB50" s="37"/>
      <c r="BMC50" s="37"/>
      <c r="BMD50" s="37"/>
      <c r="BME50" s="37"/>
      <c r="BMF50" s="37"/>
      <c r="BMG50" s="138"/>
      <c r="BMH50" s="37"/>
      <c r="BMI50" s="37"/>
      <c r="BMJ50" s="37"/>
      <c r="BMK50" s="37"/>
      <c r="BML50" s="37"/>
      <c r="BMM50" s="75"/>
      <c r="BMN50" s="37"/>
      <c r="BMO50" s="37"/>
      <c r="BMP50" s="37"/>
      <c r="BMQ50" s="37"/>
      <c r="BMR50" s="37"/>
      <c r="BMS50" s="138"/>
      <c r="BMT50" s="37"/>
      <c r="BMU50" s="37"/>
      <c r="BMV50" s="37"/>
      <c r="BMW50" s="37"/>
      <c r="BMX50" s="37"/>
      <c r="BMY50" s="75"/>
      <c r="BMZ50" s="65"/>
      <c r="BNA50" s="65"/>
      <c r="BNB50" s="65"/>
      <c r="BNC50" s="65"/>
      <c r="BND50" s="37"/>
      <c r="BNE50" s="138"/>
      <c r="BNF50" s="37"/>
      <c r="BNG50" s="37"/>
      <c r="BNH50" s="37"/>
      <c r="BNI50" s="37"/>
      <c r="BNJ50" s="37"/>
      <c r="BNK50" s="75"/>
      <c r="BNL50" s="37"/>
      <c r="BNM50" s="37"/>
      <c r="BNN50" s="37"/>
      <c r="BNO50" s="37"/>
      <c r="BNP50" s="37"/>
      <c r="BNQ50" s="138"/>
      <c r="BNR50" s="37"/>
      <c r="BNS50" s="37"/>
      <c r="BNT50" s="37"/>
      <c r="BNU50" s="37"/>
      <c r="BNV50" s="37"/>
      <c r="BNW50" s="75"/>
      <c r="BNX50" s="37"/>
      <c r="BNY50" s="37"/>
      <c r="BNZ50" s="37"/>
      <c r="BOA50" s="37"/>
      <c r="BOB50" s="37"/>
      <c r="BOC50" s="38"/>
      <c r="BOD50" s="90"/>
    </row>
    <row r="51" spans="1:1746" ht="20.100000000000001" customHeight="1" x14ac:dyDescent="0.25">
      <c r="A51" s="100" t="s">
        <v>19</v>
      </c>
      <c r="B51" s="63" t="str">
        <f>IF(LEN(C87)=0,"",C87)</f>
        <v/>
      </c>
      <c r="C51" s="211" t="s">
        <v>66</v>
      </c>
      <c r="D51" s="146" t="str">
        <f t="shared" si="0"/>
        <v>2h</v>
      </c>
      <c r="E51" s="39">
        <v>24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177"/>
      <c r="UA51" s="178"/>
      <c r="UB51" s="178"/>
      <c r="UC51" s="178"/>
      <c r="UD51" s="179"/>
      <c r="UE51" s="180"/>
      <c r="UF51" s="179"/>
      <c r="UG51" s="179"/>
      <c r="UH51" s="179"/>
      <c r="UI51" s="179"/>
      <c r="UJ51" s="179"/>
      <c r="UK51" s="181"/>
      <c r="UL51" s="179"/>
      <c r="UM51" s="179"/>
      <c r="UN51" s="179"/>
      <c r="UO51" s="179"/>
      <c r="UP51" s="179"/>
      <c r="UQ51" s="182"/>
      <c r="UR51" s="179"/>
      <c r="US51" s="179"/>
      <c r="UT51" s="179"/>
      <c r="UU51" s="179"/>
      <c r="UV51" s="179"/>
      <c r="UW51" s="181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40"/>
      <c r="BJO51" s="66"/>
      <c r="BJP51" s="66"/>
      <c r="BJQ51" s="66"/>
      <c r="BJR51" s="41"/>
      <c r="BJS51" s="134"/>
      <c r="BJT51" s="41"/>
      <c r="BJU51" s="41"/>
      <c r="BJV51" s="41"/>
      <c r="BJW51" s="41"/>
      <c r="BJX51" s="41"/>
      <c r="BJY51" s="139"/>
      <c r="BJZ51" s="41"/>
      <c r="BKA51" s="41"/>
      <c r="BKB51" s="41"/>
      <c r="BKC51" s="41"/>
      <c r="BKD51" s="41"/>
      <c r="BKE51" s="76"/>
      <c r="BKF51" s="41"/>
      <c r="BKG51" s="41"/>
      <c r="BKH51" s="41"/>
      <c r="BKI51" s="41"/>
      <c r="BKJ51" s="41"/>
      <c r="BKK51" s="139"/>
      <c r="BKL51" s="41"/>
      <c r="BKM51" s="41"/>
      <c r="BKN51" s="41"/>
      <c r="BKO51" s="41"/>
      <c r="BKP51" s="41"/>
      <c r="BKQ51" s="76"/>
      <c r="BKR51" s="66"/>
      <c r="BKS51" s="66"/>
      <c r="BKT51" s="66"/>
      <c r="BKU51" s="66"/>
      <c r="BKV51" s="41"/>
      <c r="BKW51" s="139"/>
      <c r="BKX51" s="41"/>
      <c r="BKY51" s="41"/>
      <c r="BKZ51" s="41"/>
      <c r="BLA51" s="41"/>
      <c r="BLB51" s="41"/>
      <c r="BLC51" s="76"/>
      <c r="BLD51" s="41"/>
      <c r="BLE51" s="41"/>
      <c r="BLF51" s="41"/>
      <c r="BLG51" s="41"/>
      <c r="BLH51" s="41"/>
      <c r="BLI51" s="139"/>
      <c r="BLJ51" s="41"/>
      <c r="BLK51" s="41"/>
      <c r="BLL51" s="41"/>
      <c r="BLM51" s="41"/>
      <c r="BLN51" s="41"/>
      <c r="BLO51" s="76"/>
      <c r="BLP51" s="41"/>
      <c r="BLQ51" s="41"/>
      <c r="BLR51" s="41"/>
      <c r="BLS51" s="41"/>
      <c r="BLT51" s="41"/>
      <c r="BLU51" s="42"/>
      <c r="BLV51" s="40"/>
      <c r="BLW51" s="66"/>
      <c r="BLX51" s="66"/>
      <c r="BLY51" s="66"/>
      <c r="BLZ51" s="41"/>
      <c r="BMA51" s="134"/>
      <c r="BMB51" s="41"/>
      <c r="BMC51" s="41"/>
      <c r="BMD51" s="41"/>
      <c r="BME51" s="41"/>
      <c r="BMF51" s="41"/>
      <c r="BMG51" s="139"/>
      <c r="BMH51" s="41"/>
      <c r="BMI51" s="41"/>
      <c r="BMJ51" s="41"/>
      <c r="BMK51" s="41"/>
      <c r="BML51" s="41"/>
      <c r="BMM51" s="76"/>
      <c r="BMN51" s="41"/>
      <c r="BMO51" s="41"/>
      <c r="BMP51" s="41"/>
      <c r="BMQ51" s="41"/>
      <c r="BMR51" s="41"/>
      <c r="BMS51" s="139"/>
      <c r="BMT51" s="41"/>
      <c r="BMU51" s="41"/>
      <c r="BMV51" s="41"/>
      <c r="BMW51" s="41"/>
      <c r="BMX51" s="41"/>
      <c r="BMY51" s="76"/>
      <c r="BMZ51" s="66"/>
      <c r="BNA51" s="66"/>
      <c r="BNB51" s="66"/>
      <c r="BNC51" s="66"/>
      <c r="BND51" s="41"/>
      <c r="BNE51" s="139"/>
      <c r="BNF51" s="41"/>
      <c r="BNG51" s="41"/>
      <c r="BNH51" s="41"/>
      <c r="BNI51" s="41"/>
      <c r="BNJ51" s="41"/>
      <c r="BNK51" s="76"/>
      <c r="BNL51" s="41"/>
      <c r="BNM51" s="41"/>
      <c r="BNN51" s="41"/>
      <c r="BNO51" s="41"/>
      <c r="BNP51" s="41"/>
      <c r="BNQ51" s="139"/>
      <c r="BNR51" s="41"/>
      <c r="BNS51" s="41"/>
      <c r="BNT51" s="41"/>
      <c r="BNU51" s="41"/>
      <c r="BNV51" s="41"/>
      <c r="BNW51" s="76"/>
      <c r="BNX51" s="41"/>
      <c r="BNY51" s="41"/>
      <c r="BNZ51" s="41"/>
      <c r="BOA51" s="41"/>
      <c r="BOB51" s="41"/>
      <c r="BOC51" s="42"/>
      <c r="BOD51" s="90"/>
    </row>
    <row r="52" spans="1:1746" ht="20.100000000000001" customHeight="1" x14ac:dyDescent="0.25">
      <c r="A52" s="100" t="s">
        <v>20</v>
      </c>
      <c r="B52" s="63" t="str">
        <f>IF(LEN(C89)=0,"",C89)</f>
        <v/>
      </c>
      <c r="C52" s="212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28"/>
      <c r="BJO52" s="67"/>
      <c r="BJP52" s="67"/>
      <c r="BJQ52" s="67"/>
      <c r="BJR52" s="29"/>
      <c r="BJS52" s="131"/>
      <c r="BJT52" s="29"/>
      <c r="BJU52" s="29"/>
      <c r="BJV52" s="29"/>
      <c r="BJW52" s="29"/>
      <c r="BJX52" s="29"/>
      <c r="BJY52" s="136"/>
      <c r="BJZ52" s="29"/>
      <c r="BKA52" s="29"/>
      <c r="BKB52" s="29"/>
      <c r="BKC52" s="29"/>
      <c r="BKD52" s="29"/>
      <c r="BKE52" s="75"/>
      <c r="BKF52" s="29"/>
      <c r="BKG52" s="29"/>
      <c r="BKH52" s="29"/>
      <c r="BKI52" s="29"/>
      <c r="BKJ52" s="29"/>
      <c r="BKK52" s="136"/>
      <c r="BKL52" s="29"/>
      <c r="BKM52" s="29"/>
      <c r="BKN52" s="29"/>
      <c r="BKO52" s="29"/>
      <c r="BKP52" s="29"/>
      <c r="BKQ52" s="75"/>
      <c r="BKR52" s="67"/>
      <c r="BKS52" s="67"/>
      <c r="BKT52" s="67"/>
      <c r="BKU52" s="67"/>
      <c r="BKV52" s="29"/>
      <c r="BKW52" s="136"/>
      <c r="BKX52" s="29"/>
      <c r="BKY52" s="29"/>
      <c r="BKZ52" s="29"/>
      <c r="BLA52" s="29"/>
      <c r="BLB52" s="37"/>
      <c r="BLC52" s="75"/>
      <c r="BLD52" s="29"/>
      <c r="BLE52" s="29"/>
      <c r="BLF52" s="29"/>
      <c r="BLG52" s="29"/>
      <c r="BLH52" s="29"/>
      <c r="BLI52" s="136"/>
      <c r="BLJ52" s="29"/>
      <c r="BLK52" s="29"/>
      <c r="BLL52" s="29"/>
      <c r="BLM52" s="29"/>
      <c r="BLN52" s="29"/>
      <c r="BLO52" s="75"/>
      <c r="BLP52" s="29"/>
      <c r="BLQ52" s="29"/>
      <c r="BLR52" s="29"/>
      <c r="BLS52" s="29"/>
      <c r="BLT52" s="29"/>
      <c r="BLU52" s="30"/>
      <c r="BLV52" s="28"/>
      <c r="BLW52" s="67"/>
      <c r="BLX52" s="67"/>
      <c r="BLY52" s="67"/>
      <c r="BLZ52" s="29"/>
      <c r="BMA52" s="131"/>
      <c r="BMB52" s="29"/>
      <c r="BMC52" s="29"/>
      <c r="BMD52" s="29"/>
      <c r="BME52" s="29"/>
      <c r="BMF52" s="29"/>
      <c r="BMG52" s="136"/>
      <c r="BMH52" s="29"/>
      <c r="BMI52" s="29"/>
      <c r="BMJ52" s="29"/>
      <c r="BMK52" s="29"/>
      <c r="BML52" s="29"/>
      <c r="BMM52" s="75"/>
      <c r="BMN52" s="29"/>
      <c r="BMO52" s="29"/>
      <c r="BMP52" s="29"/>
      <c r="BMQ52" s="29"/>
      <c r="BMR52" s="29"/>
      <c r="BMS52" s="136"/>
      <c r="BMT52" s="29"/>
      <c r="BMU52" s="29"/>
      <c r="BMV52" s="29"/>
      <c r="BMW52" s="29"/>
      <c r="BMX52" s="29"/>
      <c r="BMY52" s="75"/>
      <c r="BMZ52" s="67"/>
      <c r="BNA52" s="67"/>
      <c r="BNB52" s="67"/>
      <c r="BNC52" s="67"/>
      <c r="BND52" s="29"/>
      <c r="BNE52" s="136"/>
      <c r="BNF52" s="29"/>
      <c r="BNG52" s="29"/>
      <c r="BNH52" s="29"/>
      <c r="BNI52" s="29"/>
      <c r="BNJ52" s="37"/>
      <c r="BNK52" s="75"/>
      <c r="BNL52" s="29"/>
      <c r="BNM52" s="29"/>
      <c r="BNN52" s="29"/>
      <c r="BNO52" s="29"/>
      <c r="BNP52" s="29"/>
      <c r="BNQ52" s="136"/>
      <c r="BNR52" s="29"/>
      <c r="BNS52" s="29"/>
      <c r="BNT52" s="29"/>
      <c r="BNU52" s="29"/>
      <c r="BNV52" s="29"/>
      <c r="BNW52" s="75"/>
      <c r="BNX52" s="29"/>
      <c r="BNY52" s="29"/>
      <c r="BNZ52" s="29"/>
      <c r="BOA52" s="29"/>
      <c r="BOB52" s="29"/>
      <c r="BOC52" s="30"/>
      <c r="BOD52" s="90"/>
    </row>
    <row r="53" spans="1:1746" ht="20.100000000000001" customHeight="1" x14ac:dyDescent="0.25">
      <c r="A53" s="100" t="s">
        <v>19</v>
      </c>
      <c r="B53" s="63" t="str">
        <f>IF(LEN(C91)=0,"",C91)</f>
        <v/>
      </c>
      <c r="C53" s="211" t="s">
        <v>68</v>
      </c>
      <c r="D53" s="146" t="str">
        <f t="shared" si="0"/>
        <v>3h5min</v>
      </c>
      <c r="E53" s="31">
        <v>37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184"/>
      <c r="VD53" s="185"/>
      <c r="VE53" s="185"/>
      <c r="VF53" s="185"/>
      <c r="VG53" s="185"/>
      <c r="VH53" s="183"/>
      <c r="VI53" s="186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188"/>
      <c r="WI53" s="185"/>
      <c r="WJ53" s="185"/>
      <c r="WK53" s="185"/>
      <c r="WL53" s="183"/>
      <c r="WM53" s="187"/>
      <c r="WN53" s="183"/>
      <c r="WO53" s="183"/>
      <c r="WP53" s="183"/>
      <c r="WQ53" s="183"/>
      <c r="WR53" s="183"/>
      <c r="WS53" s="186"/>
      <c r="WT53" s="183"/>
      <c r="WU53" s="183"/>
      <c r="WV53" s="183"/>
      <c r="WW53" s="183"/>
      <c r="WX53" s="183"/>
      <c r="WY53" s="184"/>
      <c r="WZ53" s="183"/>
      <c r="XA53" s="183"/>
      <c r="XB53" s="183"/>
      <c r="XC53" s="183"/>
      <c r="XD53" s="183"/>
      <c r="XE53" s="186"/>
      <c r="XF53" s="183"/>
      <c r="XG53" s="183"/>
      <c r="XH53" s="183"/>
      <c r="XI53" s="183"/>
      <c r="XJ53" s="183"/>
      <c r="XK53" s="18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32"/>
      <c r="BJO53" s="64"/>
      <c r="BJP53" s="64"/>
      <c r="BJQ53" s="64"/>
      <c r="BJR53" s="33"/>
      <c r="BJS53" s="132"/>
      <c r="BJT53" s="33"/>
      <c r="BJU53" s="33"/>
      <c r="BJV53" s="33"/>
      <c r="BJW53" s="33"/>
      <c r="BJX53" s="33"/>
      <c r="BJY53" s="137"/>
      <c r="BJZ53" s="33"/>
      <c r="BKA53" s="33"/>
      <c r="BKB53" s="33"/>
      <c r="BKC53" s="33"/>
      <c r="BKD53" s="33"/>
      <c r="BKE53" s="74"/>
      <c r="BKF53" s="33"/>
      <c r="BKG53" s="33"/>
      <c r="BKH53" s="33"/>
      <c r="BKI53" s="33"/>
      <c r="BKJ53" s="33"/>
      <c r="BKK53" s="137"/>
      <c r="BKL53" s="33"/>
      <c r="BKM53" s="33"/>
      <c r="BKN53" s="33"/>
      <c r="BKO53" s="33"/>
      <c r="BKP53" s="33"/>
      <c r="BKQ53" s="74"/>
      <c r="BKR53" s="64"/>
      <c r="BKS53" s="64"/>
      <c r="BKT53" s="64"/>
      <c r="BKU53" s="64"/>
      <c r="BKV53" s="33"/>
      <c r="BKW53" s="137"/>
      <c r="BKX53" s="33"/>
      <c r="BKY53" s="33"/>
      <c r="BKZ53" s="33"/>
      <c r="BLA53" s="33"/>
      <c r="BLB53" s="33"/>
      <c r="BLC53" s="74"/>
      <c r="BLD53" s="33"/>
      <c r="BLE53" s="33"/>
      <c r="BLF53" s="33"/>
      <c r="BLG53" s="33"/>
      <c r="BLH53" s="33"/>
      <c r="BLI53" s="137"/>
      <c r="BLJ53" s="33"/>
      <c r="BLK53" s="33"/>
      <c r="BLL53" s="33"/>
      <c r="BLM53" s="33"/>
      <c r="BLN53" s="33"/>
      <c r="BLO53" s="74"/>
      <c r="BLP53" s="33"/>
      <c r="BLQ53" s="33"/>
      <c r="BLR53" s="33"/>
      <c r="BLS53" s="33"/>
      <c r="BLT53" s="33"/>
      <c r="BLU53" s="34"/>
      <c r="BLV53" s="32"/>
      <c r="BLW53" s="64"/>
      <c r="BLX53" s="64"/>
      <c r="BLY53" s="64"/>
      <c r="BLZ53" s="33"/>
      <c r="BMA53" s="132"/>
      <c r="BMB53" s="33"/>
      <c r="BMC53" s="33"/>
      <c r="BMD53" s="33"/>
      <c r="BME53" s="33"/>
      <c r="BMF53" s="33"/>
      <c r="BMG53" s="137"/>
      <c r="BMH53" s="33"/>
      <c r="BMI53" s="33"/>
      <c r="BMJ53" s="33"/>
      <c r="BMK53" s="33"/>
      <c r="BML53" s="33"/>
      <c r="BMM53" s="74"/>
      <c r="BMN53" s="33"/>
      <c r="BMO53" s="33"/>
      <c r="BMP53" s="33"/>
      <c r="BMQ53" s="33"/>
      <c r="BMR53" s="33"/>
      <c r="BMS53" s="137"/>
      <c r="BMT53" s="33"/>
      <c r="BMU53" s="33"/>
      <c r="BMV53" s="33"/>
      <c r="BMW53" s="33"/>
      <c r="BMX53" s="33"/>
      <c r="BMY53" s="74"/>
      <c r="BMZ53" s="64"/>
      <c r="BNA53" s="64"/>
      <c r="BNB53" s="64"/>
      <c r="BNC53" s="64"/>
      <c r="BND53" s="33"/>
      <c r="BNE53" s="137"/>
      <c r="BNF53" s="33"/>
      <c r="BNG53" s="33"/>
      <c r="BNH53" s="33"/>
      <c r="BNI53" s="33"/>
      <c r="BNJ53" s="33"/>
      <c r="BNK53" s="74"/>
      <c r="BNL53" s="33"/>
      <c r="BNM53" s="33"/>
      <c r="BNN53" s="33"/>
      <c r="BNO53" s="33"/>
      <c r="BNP53" s="33"/>
      <c r="BNQ53" s="137"/>
      <c r="BNR53" s="33"/>
      <c r="BNS53" s="33"/>
      <c r="BNT53" s="33"/>
      <c r="BNU53" s="33"/>
      <c r="BNV53" s="33"/>
      <c r="BNW53" s="74"/>
      <c r="BNX53" s="33"/>
      <c r="BNY53" s="33"/>
      <c r="BNZ53" s="33"/>
      <c r="BOA53" s="33"/>
      <c r="BOB53" s="33"/>
      <c r="BOC53" s="34"/>
      <c r="BOD53" s="90"/>
    </row>
    <row r="54" spans="1:1746" ht="20.100000000000001" customHeight="1" x14ac:dyDescent="0.3">
      <c r="A54" s="100" t="s">
        <v>20</v>
      </c>
      <c r="B54" s="63" t="str">
        <f>IF(LEN(C93)=0,"",C93)</f>
        <v/>
      </c>
      <c r="C54" s="213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36"/>
      <c r="BJO54" s="65"/>
      <c r="BJP54" s="65"/>
      <c r="BJQ54" s="65"/>
      <c r="BJR54" s="37"/>
      <c r="BJS54" s="133"/>
      <c r="BJT54" s="37"/>
      <c r="BJU54" s="37"/>
      <c r="BJV54" s="37"/>
      <c r="BJW54" s="37"/>
      <c r="BJX54" s="37"/>
      <c r="BJY54" s="138"/>
      <c r="BJZ54" s="37"/>
      <c r="BKA54" s="37"/>
      <c r="BKB54" s="37"/>
      <c r="BKC54" s="37"/>
      <c r="BKD54" s="37"/>
      <c r="BKE54" s="75"/>
      <c r="BKF54" s="37"/>
      <c r="BKG54" s="37"/>
      <c r="BKH54" s="37"/>
      <c r="BKI54" s="37"/>
      <c r="BKJ54" s="37"/>
      <c r="BKK54" s="138"/>
      <c r="BKL54" s="37"/>
      <c r="BKM54" s="37"/>
      <c r="BKN54" s="37"/>
      <c r="BKO54" s="37"/>
      <c r="BKP54" s="37"/>
      <c r="BKQ54" s="75"/>
      <c r="BKR54" s="65"/>
      <c r="BKS54" s="65"/>
      <c r="BKT54" s="65"/>
      <c r="BKU54" s="65"/>
      <c r="BKV54" s="37"/>
      <c r="BKW54" s="138"/>
      <c r="BKX54" s="37"/>
      <c r="BKY54" s="37"/>
      <c r="BKZ54" s="37"/>
      <c r="BLA54" s="37"/>
      <c r="BLB54" s="37"/>
      <c r="BLC54" s="75"/>
      <c r="BLD54" s="37"/>
      <c r="BLE54" s="37"/>
      <c r="BLF54" s="37"/>
      <c r="BLG54" s="37"/>
      <c r="BLH54" s="37"/>
      <c r="BLI54" s="138"/>
      <c r="BLJ54" s="37"/>
      <c r="BLK54" s="37"/>
      <c r="BLL54" s="37"/>
      <c r="BLM54" s="37"/>
      <c r="BLN54" s="37"/>
      <c r="BLO54" s="75"/>
      <c r="BLP54" s="37"/>
      <c r="BLQ54" s="37"/>
      <c r="BLR54" s="37"/>
      <c r="BLS54" s="37"/>
      <c r="BLT54" s="37"/>
      <c r="BLU54" s="38"/>
      <c r="BLV54" s="36"/>
      <c r="BLW54" s="65"/>
      <c r="BLX54" s="65"/>
      <c r="BLY54" s="65"/>
      <c r="BLZ54" s="37"/>
      <c r="BMA54" s="133"/>
      <c r="BMB54" s="37"/>
      <c r="BMC54" s="37"/>
      <c r="BMD54" s="37"/>
      <c r="BME54" s="37"/>
      <c r="BMF54" s="37"/>
      <c r="BMG54" s="138"/>
      <c r="BMH54" s="37"/>
      <c r="BMI54" s="37"/>
      <c r="BMJ54" s="37"/>
      <c r="BMK54" s="37"/>
      <c r="BML54" s="37"/>
      <c r="BMM54" s="75"/>
      <c r="BMN54" s="37"/>
      <c r="BMO54" s="37"/>
      <c r="BMP54" s="37"/>
      <c r="BMQ54" s="37"/>
      <c r="BMR54" s="37"/>
      <c r="BMS54" s="138"/>
      <c r="BMT54" s="37"/>
      <c r="BMU54" s="37"/>
      <c r="BMV54" s="37"/>
      <c r="BMW54" s="37"/>
      <c r="BMX54" s="37"/>
      <c r="BMY54" s="75"/>
      <c r="BMZ54" s="65"/>
      <c r="BNA54" s="65"/>
      <c r="BNB54" s="65"/>
      <c r="BNC54" s="65"/>
      <c r="BND54" s="37"/>
      <c r="BNE54" s="138"/>
      <c r="BNF54" s="37"/>
      <c r="BNG54" s="37"/>
      <c r="BNH54" s="37"/>
      <c r="BNI54" s="37"/>
      <c r="BNJ54" s="37"/>
      <c r="BNK54" s="75"/>
      <c r="BNL54" s="37"/>
      <c r="BNM54" s="37"/>
      <c r="BNN54" s="37"/>
      <c r="BNO54" s="37"/>
      <c r="BNP54" s="37"/>
      <c r="BNQ54" s="138"/>
      <c r="BNR54" s="37"/>
      <c r="BNS54" s="37"/>
      <c r="BNT54" s="37"/>
      <c r="BNU54" s="37"/>
      <c r="BNV54" s="37"/>
      <c r="BNW54" s="75"/>
      <c r="BNX54" s="37"/>
      <c r="BNY54" s="37"/>
      <c r="BNZ54" s="37"/>
      <c r="BOA54" s="37"/>
      <c r="BOB54" s="37"/>
      <c r="BOC54" s="38"/>
      <c r="BOD54" s="90"/>
    </row>
    <row r="55" spans="1:1746" ht="20.100000000000001" customHeight="1" x14ac:dyDescent="0.25">
      <c r="A55" s="100" t="s">
        <v>19</v>
      </c>
      <c r="B55" s="63"/>
      <c r="C55" s="211" t="s">
        <v>69</v>
      </c>
      <c r="D55" s="146" t="str">
        <f t="shared" si="0"/>
        <v>9h35min</v>
      </c>
      <c r="E55" s="39">
        <v>115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177"/>
      <c r="YQ55" s="178"/>
      <c r="YR55" s="178"/>
      <c r="YS55" s="178"/>
      <c r="YT55" s="179"/>
      <c r="YU55" s="180"/>
      <c r="YV55" s="179"/>
      <c r="YW55" s="179"/>
      <c r="YX55" s="179"/>
      <c r="YY55" s="179"/>
      <c r="YZ55" s="179"/>
      <c r="ZA55" s="181"/>
      <c r="ZB55" s="179"/>
      <c r="ZC55" s="179"/>
      <c r="ZD55" s="179"/>
      <c r="ZE55" s="179"/>
      <c r="ZF55" s="179"/>
      <c r="ZG55" s="182"/>
      <c r="ZH55" s="179"/>
      <c r="ZI55" s="179"/>
      <c r="ZJ55" s="179"/>
      <c r="ZK55" s="179"/>
      <c r="ZL55" s="179"/>
      <c r="ZM55" s="181"/>
      <c r="ZN55" s="179"/>
      <c r="ZO55" s="179"/>
      <c r="ZP55" s="179"/>
      <c r="ZQ55" s="179"/>
      <c r="ZR55" s="179"/>
      <c r="ZS55" s="182"/>
      <c r="ZT55" s="178"/>
      <c r="ZU55" s="178"/>
      <c r="ZV55" s="178"/>
      <c r="ZW55" s="178"/>
      <c r="ZX55" s="179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177"/>
      <c r="AAY55" s="178"/>
      <c r="AAZ55" s="178"/>
      <c r="ABA55" s="178"/>
      <c r="ABB55" s="179"/>
      <c r="ABC55" s="180"/>
      <c r="ABD55" s="179"/>
      <c r="ABE55" s="179"/>
      <c r="ABF55" s="179"/>
      <c r="ABG55" s="179"/>
      <c r="ABH55" s="179"/>
      <c r="ABI55" s="181"/>
      <c r="ABJ55" s="179"/>
      <c r="ABK55" s="179"/>
      <c r="ABL55" s="179"/>
      <c r="ABM55" s="179"/>
      <c r="ABN55" s="179"/>
      <c r="ABO55" s="182"/>
      <c r="ABP55" s="179"/>
      <c r="ABQ55" s="179"/>
      <c r="ABR55" s="179"/>
      <c r="ABS55" s="179"/>
      <c r="ABT55" s="179"/>
      <c r="ABU55" s="181"/>
      <c r="ABV55" s="179"/>
      <c r="ABW55" s="179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177"/>
      <c r="ADG55" s="178"/>
      <c r="ADH55" s="178"/>
      <c r="ADI55" s="178"/>
      <c r="ADJ55" s="179"/>
      <c r="ADK55" s="180"/>
      <c r="ADL55" s="179"/>
      <c r="ADM55" s="179"/>
      <c r="ADN55" s="179"/>
      <c r="ADO55" s="179"/>
      <c r="ADP55" s="179"/>
      <c r="ADQ55" s="181"/>
      <c r="ADR55" s="179"/>
      <c r="ADS55" s="179"/>
      <c r="ADT55" s="179"/>
      <c r="ADU55" s="179"/>
      <c r="ADV55" s="179"/>
      <c r="ADW55" s="182"/>
      <c r="ADX55" s="179"/>
      <c r="ADY55" s="179"/>
      <c r="ADZ55" s="179"/>
      <c r="AEA55" s="179"/>
      <c r="AEB55" s="179"/>
      <c r="AEC55" s="181"/>
      <c r="AED55" s="179"/>
      <c r="AEE55" s="179"/>
      <c r="AEF55" s="179"/>
      <c r="AEG55" s="179"/>
      <c r="AEH55" s="179"/>
      <c r="AEI55" s="182"/>
      <c r="AEJ55" s="178"/>
      <c r="AEK55" s="178"/>
      <c r="AEL55" s="178"/>
      <c r="AEM55" s="178"/>
      <c r="AEN55" s="179"/>
      <c r="AEO55" s="181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177"/>
      <c r="AFO55" s="178"/>
      <c r="AFP55" s="178"/>
      <c r="AFQ55" s="178"/>
      <c r="AFR55" s="179"/>
      <c r="AFS55" s="180"/>
      <c r="AFT55" s="179"/>
      <c r="AFU55" s="179"/>
      <c r="AFV55" s="179"/>
      <c r="AFW55" s="179"/>
      <c r="AFX55" s="179"/>
      <c r="AFY55" s="181"/>
      <c r="AFZ55" s="179"/>
      <c r="AGA55" s="179"/>
      <c r="AGB55" s="179"/>
      <c r="AGC55" s="179"/>
      <c r="AGD55" s="179"/>
      <c r="AGE55" s="182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40"/>
      <c r="BJO55" s="66"/>
      <c r="BJP55" s="66"/>
      <c r="BJQ55" s="66"/>
      <c r="BJR55" s="41"/>
      <c r="BJS55" s="134"/>
      <c r="BJT55" s="41"/>
      <c r="BJU55" s="41"/>
      <c r="BJV55" s="41"/>
      <c r="BJW55" s="41"/>
      <c r="BJX55" s="41"/>
      <c r="BJY55" s="139"/>
      <c r="BJZ55" s="41"/>
      <c r="BKA55" s="41"/>
      <c r="BKB55" s="41"/>
      <c r="BKC55" s="41"/>
      <c r="BKD55" s="41"/>
      <c r="BKE55" s="76"/>
      <c r="BKF55" s="41"/>
      <c r="BKG55" s="41"/>
      <c r="BKH55" s="41"/>
      <c r="BKI55" s="41"/>
      <c r="BKJ55" s="41"/>
      <c r="BKK55" s="139"/>
      <c r="BKL55" s="41"/>
      <c r="BKM55" s="41"/>
      <c r="BKN55" s="41"/>
      <c r="BKO55" s="41"/>
      <c r="BKP55" s="41"/>
      <c r="BKQ55" s="76"/>
      <c r="BKR55" s="66"/>
      <c r="BKS55" s="66"/>
      <c r="BKT55" s="66"/>
      <c r="BKU55" s="66"/>
      <c r="BKV55" s="41"/>
      <c r="BKW55" s="139"/>
      <c r="BKX55" s="41"/>
      <c r="BKY55" s="41"/>
      <c r="BKZ55" s="41"/>
      <c r="BLA55" s="41"/>
      <c r="BLB55" s="41"/>
      <c r="BLC55" s="76"/>
      <c r="BLD55" s="41"/>
      <c r="BLE55" s="41"/>
      <c r="BLF55" s="41"/>
      <c r="BLG55" s="41"/>
      <c r="BLH55" s="41"/>
      <c r="BLI55" s="139"/>
      <c r="BLJ55" s="41"/>
      <c r="BLK55" s="41"/>
      <c r="BLL55" s="41"/>
      <c r="BLM55" s="41"/>
      <c r="BLN55" s="41"/>
      <c r="BLO55" s="76"/>
      <c r="BLP55" s="41"/>
      <c r="BLQ55" s="41"/>
      <c r="BLR55" s="41"/>
      <c r="BLS55" s="41"/>
      <c r="BLT55" s="41"/>
      <c r="BLU55" s="42"/>
      <c r="BLV55" s="40"/>
      <c r="BLW55" s="66"/>
      <c r="BLX55" s="66"/>
      <c r="BLY55" s="66"/>
      <c r="BLZ55" s="41"/>
      <c r="BMA55" s="134"/>
      <c r="BMB55" s="41"/>
      <c r="BMC55" s="41"/>
      <c r="BMD55" s="41"/>
      <c r="BME55" s="41"/>
      <c r="BMF55" s="41"/>
      <c r="BMG55" s="139"/>
      <c r="BMH55" s="41"/>
      <c r="BMI55" s="41"/>
      <c r="BMJ55" s="41"/>
      <c r="BMK55" s="41"/>
      <c r="BML55" s="41"/>
      <c r="BMM55" s="76"/>
      <c r="BMN55" s="41"/>
      <c r="BMO55" s="41"/>
      <c r="BMP55" s="41"/>
      <c r="BMQ55" s="41"/>
      <c r="BMR55" s="41"/>
      <c r="BMS55" s="139"/>
      <c r="BMT55" s="41"/>
      <c r="BMU55" s="41"/>
      <c r="BMV55" s="41"/>
      <c r="BMW55" s="41"/>
      <c r="BMX55" s="41"/>
      <c r="BMY55" s="76"/>
      <c r="BMZ55" s="66"/>
      <c r="BNA55" s="66"/>
      <c r="BNB55" s="66"/>
      <c r="BNC55" s="66"/>
      <c r="BND55" s="41"/>
      <c r="BNE55" s="139"/>
      <c r="BNF55" s="41"/>
      <c r="BNG55" s="41"/>
      <c r="BNH55" s="41"/>
      <c r="BNI55" s="41"/>
      <c r="BNJ55" s="41"/>
      <c r="BNK55" s="76"/>
      <c r="BNL55" s="41"/>
      <c r="BNM55" s="41"/>
      <c r="BNN55" s="41"/>
      <c r="BNO55" s="41"/>
      <c r="BNP55" s="41"/>
      <c r="BNQ55" s="139"/>
      <c r="BNR55" s="41"/>
      <c r="BNS55" s="41"/>
      <c r="BNT55" s="41"/>
      <c r="BNU55" s="41"/>
      <c r="BNV55" s="41"/>
      <c r="BNW55" s="76"/>
      <c r="BNX55" s="41"/>
      <c r="BNY55" s="41"/>
      <c r="BNZ55" s="41"/>
      <c r="BOA55" s="41"/>
      <c r="BOB55" s="41"/>
      <c r="BOC55" s="42"/>
      <c r="BOD55" s="90"/>
    </row>
    <row r="56" spans="1:1746" ht="20.100000000000001" customHeight="1" x14ac:dyDescent="0.25">
      <c r="A56" s="100" t="s">
        <v>20</v>
      </c>
      <c r="B56" s="63"/>
      <c r="C56" s="21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28"/>
      <c r="BJO56" s="67"/>
      <c r="BJP56" s="67"/>
      <c r="BJQ56" s="67"/>
      <c r="BJR56" s="29"/>
      <c r="BJS56" s="131"/>
      <c r="BJT56" s="29"/>
      <c r="BJU56" s="29"/>
      <c r="BJV56" s="29"/>
      <c r="BJW56" s="29"/>
      <c r="BJX56" s="29"/>
      <c r="BJY56" s="136"/>
      <c r="BJZ56" s="29"/>
      <c r="BKA56" s="29"/>
      <c r="BKB56" s="29"/>
      <c r="BKC56" s="29"/>
      <c r="BKD56" s="29"/>
      <c r="BKE56" s="73"/>
      <c r="BKF56" s="29"/>
      <c r="BKG56" s="29"/>
      <c r="BKH56" s="29"/>
      <c r="BKI56" s="29"/>
      <c r="BKJ56" s="29"/>
      <c r="BKK56" s="136"/>
      <c r="BKL56" s="29"/>
      <c r="BKM56" s="29"/>
      <c r="BKN56" s="29"/>
      <c r="BKO56" s="29"/>
      <c r="BKP56" s="29"/>
      <c r="BKQ56" s="73"/>
      <c r="BKR56" s="67"/>
      <c r="BKS56" s="67"/>
      <c r="BKT56" s="67"/>
      <c r="BKU56" s="67"/>
      <c r="BKV56" s="29"/>
      <c r="BKW56" s="136"/>
      <c r="BKX56" s="29"/>
      <c r="BKY56" s="29"/>
      <c r="BKZ56" s="29"/>
      <c r="BLA56" s="29"/>
      <c r="BLB56" s="29"/>
      <c r="BLC56" s="73"/>
      <c r="BLD56" s="29"/>
      <c r="BLE56" s="29"/>
      <c r="BLF56" s="29"/>
      <c r="BLG56" s="29"/>
      <c r="BLH56" s="29"/>
      <c r="BLI56" s="136"/>
      <c r="BLJ56" s="29"/>
      <c r="BLK56" s="29"/>
      <c r="BLL56" s="29"/>
      <c r="BLM56" s="29"/>
      <c r="BLN56" s="29"/>
      <c r="BLO56" s="73"/>
      <c r="BLP56" s="29"/>
      <c r="BLQ56" s="29"/>
      <c r="BLR56" s="29"/>
      <c r="BLS56" s="29"/>
      <c r="BLT56" s="29"/>
      <c r="BLU56" s="30"/>
      <c r="BLV56" s="28"/>
      <c r="BLW56" s="67"/>
      <c r="BLX56" s="67"/>
      <c r="BLY56" s="67"/>
      <c r="BLZ56" s="29"/>
      <c r="BMA56" s="131"/>
      <c r="BMB56" s="29"/>
      <c r="BMC56" s="29"/>
      <c r="BMD56" s="29"/>
      <c r="BME56" s="29"/>
      <c r="BMF56" s="29"/>
      <c r="BMG56" s="136"/>
      <c r="BMH56" s="29"/>
      <c r="BMI56" s="29"/>
      <c r="BMJ56" s="29"/>
      <c r="BMK56" s="29"/>
      <c r="BML56" s="29"/>
      <c r="BMM56" s="73"/>
      <c r="BMN56" s="29"/>
      <c r="BMO56" s="29"/>
      <c r="BMP56" s="29"/>
      <c r="BMQ56" s="29"/>
      <c r="BMR56" s="29"/>
      <c r="BMS56" s="136"/>
      <c r="BMT56" s="29"/>
      <c r="BMU56" s="29"/>
      <c r="BMV56" s="29"/>
      <c r="BMW56" s="29"/>
      <c r="BMX56" s="29"/>
      <c r="BMY56" s="73"/>
      <c r="BMZ56" s="67"/>
      <c r="BNA56" s="67"/>
      <c r="BNB56" s="67"/>
      <c r="BNC56" s="67"/>
      <c r="BND56" s="29"/>
      <c r="BNE56" s="136"/>
      <c r="BNF56" s="29"/>
      <c r="BNG56" s="29"/>
      <c r="BNH56" s="29"/>
      <c r="BNI56" s="29"/>
      <c r="BNJ56" s="29"/>
      <c r="BNK56" s="73"/>
      <c r="BNL56" s="29"/>
      <c r="BNM56" s="29"/>
      <c r="BNN56" s="29"/>
      <c r="BNO56" s="29"/>
      <c r="BNP56" s="29"/>
      <c r="BNQ56" s="136"/>
      <c r="BNR56" s="29"/>
      <c r="BNS56" s="29"/>
      <c r="BNT56" s="29"/>
      <c r="BNU56" s="29"/>
      <c r="BNV56" s="29"/>
      <c r="BNW56" s="73"/>
      <c r="BNX56" s="29"/>
      <c r="BNY56" s="29"/>
      <c r="BNZ56" s="29"/>
      <c r="BOA56" s="29"/>
      <c r="BOB56" s="29"/>
      <c r="BOC56" s="30"/>
      <c r="BOD56" s="90"/>
    </row>
    <row r="57" spans="1:1746" ht="20.100000000000001" customHeight="1" x14ac:dyDescent="0.25">
      <c r="A57" s="100" t="s">
        <v>19</v>
      </c>
      <c r="B57" s="63"/>
      <c r="C57" s="211" t="s">
        <v>70</v>
      </c>
      <c r="D57" s="146" t="str">
        <f t="shared" si="0"/>
        <v>9h30min</v>
      </c>
      <c r="E57" s="31">
        <v>114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188"/>
      <c r="AHW57" s="185"/>
      <c r="AHX57" s="185"/>
      <c r="AHY57" s="185"/>
      <c r="AHZ57" s="183"/>
      <c r="AIA57" s="187"/>
      <c r="AIB57" s="183"/>
      <c r="AIC57" s="183"/>
      <c r="AID57" s="183"/>
      <c r="AIE57" s="183"/>
      <c r="AIF57" s="183"/>
      <c r="AIG57" s="186"/>
      <c r="AIH57" s="183"/>
      <c r="AII57" s="183"/>
      <c r="AIJ57" s="183"/>
      <c r="AIK57" s="183"/>
      <c r="AIL57" s="183"/>
      <c r="AIM57" s="184"/>
      <c r="AIN57" s="183"/>
      <c r="AIO57" s="183"/>
      <c r="AIP57" s="183"/>
      <c r="AIQ57" s="183"/>
      <c r="AIR57" s="183"/>
      <c r="AIS57" s="186"/>
      <c r="AIT57" s="183"/>
      <c r="AIU57" s="183"/>
      <c r="AIV57" s="183"/>
      <c r="AIW57" s="183"/>
      <c r="AIX57" s="183"/>
      <c r="AIY57" s="184"/>
      <c r="AIZ57" s="185"/>
      <c r="AJA57" s="185"/>
      <c r="AJB57" s="185"/>
      <c r="AJC57" s="185"/>
      <c r="AJD57" s="183"/>
      <c r="AJE57" s="186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188"/>
      <c r="AKE57" s="185"/>
      <c r="AKF57" s="185"/>
      <c r="AKG57" s="185"/>
      <c r="AKH57" s="183"/>
      <c r="AKI57" s="187"/>
      <c r="AKJ57" s="183"/>
      <c r="AKK57" s="183"/>
      <c r="AKL57" s="183"/>
      <c r="AKM57" s="183"/>
      <c r="AKN57" s="183"/>
      <c r="AKO57" s="186"/>
      <c r="AKP57" s="183"/>
      <c r="AKQ57" s="183"/>
      <c r="AKR57" s="183"/>
      <c r="AKS57" s="183"/>
      <c r="AKT57" s="183"/>
      <c r="AKU57" s="184"/>
      <c r="AKV57" s="183"/>
      <c r="AKW57" s="183"/>
      <c r="AKX57" s="183"/>
      <c r="AKY57" s="183"/>
      <c r="AKZ57" s="183"/>
      <c r="ALA57" s="186"/>
      <c r="ALB57" s="183"/>
      <c r="ALC57" s="183"/>
      <c r="ALD57" s="183"/>
      <c r="ALE57" s="183"/>
      <c r="ALF57" s="183"/>
      <c r="ALG57" s="184"/>
      <c r="ALH57" s="185"/>
      <c r="ALI57" s="185"/>
      <c r="ALJ57" s="185"/>
      <c r="ALK57" s="185"/>
      <c r="ALL57" s="183"/>
      <c r="ALM57" s="186"/>
      <c r="ALN57" s="183"/>
      <c r="ALO57" s="183"/>
      <c r="ALP57" s="183"/>
      <c r="ALQ57" s="183"/>
      <c r="ALR57" s="183"/>
      <c r="ALS57" s="184"/>
      <c r="ALT57" s="183"/>
      <c r="ALU57" s="183"/>
      <c r="ALV57" s="183"/>
      <c r="ALW57" s="18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188"/>
      <c r="AMM57" s="185"/>
      <c r="AMN57" s="185"/>
      <c r="AMO57" s="185"/>
      <c r="AMP57" s="183"/>
      <c r="AMQ57" s="187"/>
      <c r="AMR57" s="183"/>
      <c r="AMS57" s="183"/>
      <c r="AMT57" s="183"/>
      <c r="AMU57" s="183"/>
      <c r="AMV57" s="183"/>
      <c r="AMW57" s="186"/>
      <c r="AMX57" s="183"/>
      <c r="AMY57" s="183"/>
      <c r="AMZ57" s="183"/>
      <c r="ANA57" s="183"/>
      <c r="ANB57" s="183"/>
      <c r="ANC57" s="184"/>
      <c r="AND57" s="183"/>
      <c r="ANE57" s="183"/>
      <c r="ANF57" s="183"/>
      <c r="ANG57" s="183"/>
      <c r="ANH57" s="183"/>
      <c r="ANI57" s="186"/>
      <c r="ANJ57" s="183"/>
      <c r="ANK57" s="183"/>
      <c r="ANL57" s="183"/>
      <c r="ANM57" s="183"/>
      <c r="ANN57" s="183"/>
      <c r="ANO57" s="184"/>
      <c r="ANP57" s="185"/>
      <c r="ANQ57" s="185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32"/>
      <c r="BJO57" s="64"/>
      <c r="BJP57" s="64"/>
      <c r="BJQ57" s="64"/>
      <c r="BJR57" s="33"/>
      <c r="BJS57" s="132"/>
      <c r="BJT57" s="33"/>
      <c r="BJU57" s="33"/>
      <c r="BJV57" s="33"/>
      <c r="BJW57" s="33"/>
      <c r="BJX57" s="33"/>
      <c r="BJY57" s="137"/>
      <c r="BJZ57" s="33"/>
      <c r="BKA57" s="33"/>
      <c r="BKB57" s="33"/>
      <c r="BKC57" s="33"/>
      <c r="BKD57" s="33"/>
      <c r="BKE57" s="74"/>
      <c r="BKF57" s="33"/>
      <c r="BKG57" s="33"/>
      <c r="BKH57" s="33"/>
      <c r="BKI57" s="33"/>
      <c r="BKJ57" s="33"/>
      <c r="BKK57" s="137"/>
      <c r="BKL57" s="33"/>
      <c r="BKM57" s="33"/>
      <c r="BKN57" s="33"/>
      <c r="BKO57" s="33"/>
      <c r="BKP57" s="33"/>
      <c r="BKQ57" s="74"/>
      <c r="BKR57" s="64"/>
      <c r="BKS57" s="64"/>
      <c r="BKT57" s="64"/>
      <c r="BKU57" s="64"/>
      <c r="BKV57" s="33"/>
      <c r="BKW57" s="137"/>
      <c r="BKX57" s="33"/>
      <c r="BKY57" s="33"/>
      <c r="BKZ57" s="33"/>
      <c r="BLA57" s="33"/>
      <c r="BLB57" s="33"/>
      <c r="BLC57" s="74"/>
      <c r="BLD57" s="33"/>
      <c r="BLE57" s="33"/>
      <c r="BLF57" s="33"/>
      <c r="BLG57" s="33"/>
      <c r="BLH57" s="33"/>
      <c r="BLI57" s="137"/>
      <c r="BLJ57" s="33"/>
      <c r="BLK57" s="33"/>
      <c r="BLL57" s="33"/>
      <c r="BLM57" s="33"/>
      <c r="BLN57" s="33"/>
      <c r="BLO57" s="74"/>
      <c r="BLP57" s="33"/>
      <c r="BLQ57" s="33"/>
      <c r="BLR57" s="33"/>
      <c r="BLS57" s="33"/>
      <c r="BLT57" s="33"/>
      <c r="BLU57" s="34"/>
      <c r="BLV57" s="32"/>
      <c r="BLW57" s="64"/>
      <c r="BLX57" s="64"/>
      <c r="BLY57" s="64"/>
      <c r="BLZ57" s="33"/>
      <c r="BMA57" s="132"/>
      <c r="BMB57" s="33"/>
      <c r="BMC57" s="33"/>
      <c r="BMD57" s="33"/>
      <c r="BME57" s="33"/>
      <c r="BMF57" s="33"/>
      <c r="BMG57" s="137"/>
      <c r="BMH57" s="33"/>
      <c r="BMI57" s="33"/>
      <c r="BMJ57" s="33"/>
      <c r="BMK57" s="33"/>
      <c r="BML57" s="33"/>
      <c r="BMM57" s="74"/>
      <c r="BMN57" s="33"/>
      <c r="BMO57" s="33"/>
      <c r="BMP57" s="33"/>
      <c r="BMQ57" s="33"/>
      <c r="BMR57" s="33"/>
      <c r="BMS57" s="137"/>
      <c r="BMT57" s="33"/>
      <c r="BMU57" s="33"/>
      <c r="BMV57" s="33"/>
      <c r="BMW57" s="33"/>
      <c r="BMX57" s="33"/>
      <c r="BMY57" s="74"/>
      <c r="BMZ57" s="64"/>
      <c r="BNA57" s="64"/>
      <c r="BNB57" s="64"/>
      <c r="BNC57" s="64"/>
      <c r="BND57" s="33"/>
      <c r="BNE57" s="137"/>
      <c r="BNF57" s="33"/>
      <c r="BNG57" s="33"/>
      <c r="BNH57" s="33"/>
      <c r="BNI57" s="33"/>
      <c r="BNJ57" s="33"/>
      <c r="BNK57" s="74"/>
      <c r="BNL57" s="33"/>
      <c r="BNM57" s="33"/>
      <c r="BNN57" s="33"/>
      <c r="BNO57" s="33"/>
      <c r="BNP57" s="33"/>
      <c r="BNQ57" s="137"/>
      <c r="BNR57" s="33"/>
      <c r="BNS57" s="33"/>
      <c r="BNT57" s="33"/>
      <c r="BNU57" s="33"/>
      <c r="BNV57" s="33"/>
      <c r="BNW57" s="74"/>
      <c r="BNX57" s="33"/>
      <c r="BNY57" s="33"/>
      <c r="BNZ57" s="33"/>
      <c r="BOA57" s="33"/>
      <c r="BOB57" s="33"/>
      <c r="BOC57" s="34"/>
      <c r="BOD57" s="90"/>
    </row>
    <row r="58" spans="1:1746" ht="20.100000000000001" customHeight="1" x14ac:dyDescent="0.3">
      <c r="A58" s="100" t="s">
        <v>20</v>
      </c>
      <c r="B58" s="63"/>
      <c r="C58" s="212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36"/>
      <c r="BJO58" s="65"/>
      <c r="BJP58" s="65"/>
      <c r="BJQ58" s="65"/>
      <c r="BJR58" s="37"/>
      <c r="BJS58" s="133"/>
      <c r="BJT58" s="37"/>
      <c r="BJU58" s="37"/>
      <c r="BJV58" s="37"/>
      <c r="BJW58" s="37"/>
      <c r="BJX58" s="37"/>
      <c r="BJY58" s="138"/>
      <c r="BJZ58" s="37"/>
      <c r="BKA58" s="37"/>
      <c r="BKB58" s="37"/>
      <c r="BKC58" s="37"/>
      <c r="BKD58" s="37"/>
      <c r="BKE58" s="75"/>
      <c r="BKF58" s="37"/>
      <c r="BKG58" s="37"/>
      <c r="BKH58" s="37"/>
      <c r="BKI58" s="37"/>
      <c r="BKJ58" s="37"/>
      <c r="BKK58" s="138"/>
      <c r="BKL58" s="37"/>
      <c r="BKM58" s="37"/>
      <c r="BKN58" s="37"/>
      <c r="BKO58" s="37"/>
      <c r="BKP58" s="37"/>
      <c r="BKQ58" s="75"/>
      <c r="BKR58" s="65"/>
      <c r="BKS58" s="65"/>
      <c r="BKT58" s="65"/>
      <c r="BKU58" s="65"/>
      <c r="BKV58" s="37"/>
      <c r="BKW58" s="138"/>
      <c r="BKX58" s="37"/>
      <c r="BKY58" s="37"/>
      <c r="BKZ58" s="37"/>
      <c r="BLA58" s="37"/>
      <c r="BLB58" s="37"/>
      <c r="BLC58" s="75"/>
      <c r="BLD58" s="37"/>
      <c r="BLE58" s="37"/>
      <c r="BLF58" s="37"/>
      <c r="BLG58" s="37"/>
      <c r="BLH58" s="37"/>
      <c r="BLI58" s="138"/>
      <c r="BLJ58" s="37"/>
      <c r="BLK58" s="37"/>
      <c r="BLL58" s="37"/>
      <c r="BLM58" s="37"/>
      <c r="BLN58" s="37"/>
      <c r="BLO58" s="75"/>
      <c r="BLP58" s="37"/>
      <c r="BLQ58" s="37"/>
      <c r="BLR58" s="37"/>
      <c r="BLS58" s="37"/>
      <c r="BLT58" s="37"/>
      <c r="BLU58" s="38"/>
      <c r="BLV58" s="36"/>
      <c r="BLW58" s="65"/>
      <c r="BLX58" s="65"/>
      <c r="BLY58" s="65"/>
      <c r="BLZ58" s="37"/>
      <c r="BMA58" s="133"/>
      <c r="BMB58" s="37"/>
      <c r="BMC58" s="37"/>
      <c r="BMD58" s="37"/>
      <c r="BME58" s="37"/>
      <c r="BMF58" s="37"/>
      <c r="BMG58" s="138"/>
      <c r="BMH58" s="37"/>
      <c r="BMI58" s="37"/>
      <c r="BMJ58" s="37"/>
      <c r="BMK58" s="37"/>
      <c r="BML58" s="37"/>
      <c r="BMM58" s="75"/>
      <c r="BMN58" s="37"/>
      <c r="BMO58" s="37"/>
      <c r="BMP58" s="37"/>
      <c r="BMQ58" s="37"/>
      <c r="BMR58" s="37"/>
      <c r="BMS58" s="138"/>
      <c r="BMT58" s="37"/>
      <c r="BMU58" s="37"/>
      <c r="BMV58" s="37"/>
      <c r="BMW58" s="37"/>
      <c r="BMX58" s="37"/>
      <c r="BMY58" s="75"/>
      <c r="BMZ58" s="65"/>
      <c r="BNA58" s="65"/>
      <c r="BNB58" s="65"/>
      <c r="BNC58" s="65"/>
      <c r="BND58" s="37"/>
      <c r="BNE58" s="138"/>
      <c r="BNF58" s="37"/>
      <c r="BNG58" s="37"/>
      <c r="BNH58" s="37"/>
      <c r="BNI58" s="37"/>
      <c r="BNJ58" s="37"/>
      <c r="BNK58" s="75"/>
      <c r="BNL58" s="37"/>
      <c r="BNM58" s="37"/>
      <c r="BNN58" s="37"/>
      <c r="BNO58" s="37"/>
      <c r="BNP58" s="37"/>
      <c r="BNQ58" s="138"/>
      <c r="BNR58" s="37"/>
      <c r="BNS58" s="37"/>
      <c r="BNT58" s="37"/>
      <c r="BNU58" s="37"/>
      <c r="BNV58" s="37"/>
      <c r="BNW58" s="75"/>
      <c r="BNX58" s="37"/>
      <c r="BNY58" s="37"/>
      <c r="BNZ58" s="37"/>
      <c r="BOA58" s="37"/>
      <c r="BOB58" s="37"/>
      <c r="BOC58" s="38"/>
      <c r="BOD58" s="90"/>
    </row>
    <row r="59" spans="1:1746" ht="20.100000000000001" customHeight="1" x14ac:dyDescent="0.25">
      <c r="A59" s="100" t="s">
        <v>19</v>
      </c>
      <c r="B59" s="63"/>
      <c r="C59" s="211" t="s">
        <v>129</v>
      </c>
      <c r="D59" s="146" t="str">
        <f t="shared" si="0"/>
        <v>4h35min</v>
      </c>
      <c r="E59" s="31">
        <v>55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177"/>
      <c r="AOU59" s="178"/>
      <c r="AOV59" s="178"/>
      <c r="AOW59" s="178"/>
      <c r="AOX59" s="179"/>
      <c r="AOY59" s="180"/>
      <c r="AOZ59" s="179"/>
      <c r="APA59" s="179"/>
      <c r="APB59" s="179"/>
      <c r="APC59" s="179"/>
      <c r="APD59" s="179"/>
      <c r="APE59" s="181"/>
      <c r="APF59" s="179"/>
      <c r="APG59" s="179"/>
      <c r="APH59" s="179"/>
      <c r="API59" s="179"/>
      <c r="APJ59" s="179"/>
      <c r="APK59" s="182"/>
      <c r="APL59" s="179"/>
      <c r="APM59" s="179"/>
      <c r="APN59" s="179"/>
      <c r="APO59" s="179"/>
      <c r="APP59" s="179"/>
      <c r="APQ59" s="181"/>
      <c r="APR59" s="179"/>
      <c r="APS59" s="179"/>
      <c r="APT59" s="179"/>
      <c r="APU59" s="179"/>
      <c r="APV59" s="179"/>
      <c r="APW59" s="182"/>
      <c r="APX59" s="178"/>
      <c r="APY59" s="178"/>
      <c r="APZ59" s="178"/>
      <c r="AQA59" s="178"/>
      <c r="AQB59" s="179"/>
      <c r="AQC59" s="181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177"/>
      <c r="ARC59" s="178"/>
      <c r="ARD59" s="178"/>
      <c r="ARE59" s="178"/>
      <c r="ARF59" s="179"/>
      <c r="ARG59" s="180"/>
      <c r="ARH59" s="179"/>
      <c r="ARI59" s="179"/>
      <c r="ARJ59" s="179"/>
      <c r="ARK59" s="179"/>
      <c r="ARL59" s="179"/>
      <c r="ARM59" s="181"/>
      <c r="ARN59" s="179"/>
      <c r="ARO59" s="179"/>
      <c r="ARP59" s="179"/>
      <c r="ARQ59" s="179"/>
      <c r="ARR59" s="179"/>
      <c r="ARS59" s="182"/>
      <c r="ART59" s="179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40"/>
      <c r="BJO59" s="66"/>
      <c r="BJP59" s="66"/>
      <c r="BJQ59" s="66"/>
      <c r="BJR59" s="41"/>
      <c r="BJS59" s="134"/>
      <c r="BJT59" s="41"/>
      <c r="BJU59" s="41"/>
      <c r="BJV59" s="41"/>
      <c r="BJW59" s="41"/>
      <c r="BJX59" s="41"/>
      <c r="BJY59" s="139"/>
      <c r="BJZ59" s="41"/>
      <c r="BKA59" s="41"/>
      <c r="BKB59" s="41"/>
      <c r="BKC59" s="41"/>
      <c r="BKD59" s="41"/>
      <c r="BKE59" s="76"/>
      <c r="BKF59" s="41"/>
      <c r="BKG59" s="41"/>
      <c r="BKH59" s="41"/>
      <c r="BKI59" s="41"/>
      <c r="BKJ59" s="41"/>
      <c r="BKK59" s="139"/>
      <c r="BKL59" s="41"/>
      <c r="BKM59" s="41"/>
      <c r="BKN59" s="41"/>
      <c r="BKO59" s="41"/>
      <c r="BKP59" s="41"/>
      <c r="BKQ59" s="76"/>
      <c r="BKR59" s="66"/>
      <c r="BKS59" s="66"/>
      <c r="BKT59" s="66"/>
      <c r="BKU59" s="66"/>
      <c r="BKV59" s="41"/>
      <c r="BKW59" s="139"/>
      <c r="BKX59" s="41"/>
      <c r="BKY59" s="41"/>
      <c r="BKZ59" s="41"/>
      <c r="BLA59" s="41"/>
      <c r="BLB59" s="41"/>
      <c r="BLC59" s="76"/>
      <c r="BLD59" s="41"/>
      <c r="BLE59" s="41"/>
      <c r="BLF59" s="41"/>
      <c r="BLG59" s="41"/>
      <c r="BLH59" s="41"/>
      <c r="BLI59" s="139"/>
      <c r="BLJ59" s="41"/>
      <c r="BLK59" s="41"/>
      <c r="BLL59" s="41"/>
      <c r="BLM59" s="41"/>
      <c r="BLN59" s="41"/>
      <c r="BLO59" s="76"/>
      <c r="BLP59" s="41"/>
      <c r="BLQ59" s="41"/>
      <c r="BLR59" s="41"/>
      <c r="BLS59" s="41"/>
      <c r="BLT59" s="41"/>
      <c r="BLU59" s="42"/>
      <c r="BLV59" s="40"/>
      <c r="BLW59" s="66"/>
      <c r="BLX59" s="66"/>
      <c r="BLY59" s="66"/>
      <c r="BLZ59" s="41"/>
      <c r="BMA59" s="134"/>
      <c r="BMB59" s="41"/>
      <c r="BMC59" s="41"/>
      <c r="BMD59" s="41"/>
      <c r="BME59" s="41"/>
      <c r="BMF59" s="41"/>
      <c r="BMG59" s="139"/>
      <c r="BMH59" s="41"/>
      <c r="BMI59" s="41"/>
      <c r="BMJ59" s="41"/>
      <c r="BMK59" s="41"/>
      <c r="BML59" s="41"/>
      <c r="BMM59" s="76"/>
      <c r="BMN59" s="41"/>
      <c r="BMO59" s="41"/>
      <c r="BMP59" s="41"/>
      <c r="BMQ59" s="41"/>
      <c r="BMR59" s="41"/>
      <c r="BMS59" s="139"/>
      <c r="BMT59" s="41"/>
      <c r="BMU59" s="41"/>
      <c r="BMV59" s="41"/>
      <c r="BMW59" s="41"/>
      <c r="BMX59" s="41"/>
      <c r="BMY59" s="76"/>
      <c r="BMZ59" s="66"/>
      <c r="BNA59" s="66"/>
      <c r="BNB59" s="66"/>
      <c r="BNC59" s="66"/>
      <c r="BND59" s="41"/>
      <c r="BNE59" s="139"/>
      <c r="BNF59" s="41"/>
      <c r="BNG59" s="41"/>
      <c r="BNH59" s="41"/>
      <c r="BNI59" s="41"/>
      <c r="BNJ59" s="41"/>
      <c r="BNK59" s="76"/>
      <c r="BNL59" s="41"/>
      <c r="BNM59" s="41"/>
      <c r="BNN59" s="41"/>
      <c r="BNO59" s="41"/>
      <c r="BNP59" s="41"/>
      <c r="BNQ59" s="139"/>
      <c r="BNR59" s="41"/>
      <c r="BNS59" s="41"/>
      <c r="BNT59" s="41"/>
      <c r="BNU59" s="41"/>
      <c r="BNV59" s="41"/>
      <c r="BNW59" s="76"/>
      <c r="BNX59" s="41"/>
      <c r="BNY59" s="41"/>
      <c r="BNZ59" s="41"/>
      <c r="BOA59" s="41"/>
      <c r="BOB59" s="41"/>
      <c r="BOC59" s="42"/>
      <c r="BOD59" s="90"/>
    </row>
    <row r="60" spans="1:1746" ht="20.100000000000001" customHeight="1" x14ac:dyDescent="0.3">
      <c r="A60" s="100" t="s">
        <v>20</v>
      </c>
      <c r="B60" s="63"/>
      <c r="C60" s="213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28"/>
      <c r="BJO60" s="67"/>
      <c r="BJP60" s="67"/>
      <c r="BJQ60" s="67"/>
      <c r="BJR60" s="29"/>
      <c r="BJS60" s="131"/>
      <c r="BJT60" s="29"/>
      <c r="BJU60" s="29"/>
      <c r="BJV60" s="29"/>
      <c r="BJW60" s="29"/>
      <c r="BJX60" s="29"/>
      <c r="BJY60" s="136"/>
      <c r="BJZ60" s="29"/>
      <c r="BKA60" s="29"/>
      <c r="BKB60" s="29"/>
      <c r="BKC60" s="29"/>
      <c r="BKD60" s="29"/>
      <c r="BKE60" s="73"/>
      <c r="BKF60" s="29"/>
      <c r="BKG60" s="29"/>
      <c r="BKH60" s="29"/>
      <c r="BKI60" s="29"/>
      <c r="BKJ60" s="29"/>
      <c r="BKK60" s="136"/>
      <c r="BKL60" s="29"/>
      <c r="BKM60" s="29"/>
      <c r="BKN60" s="29"/>
      <c r="BKO60" s="29"/>
      <c r="BKP60" s="29"/>
      <c r="BKQ60" s="73"/>
      <c r="BKR60" s="67"/>
      <c r="BKS60" s="67"/>
      <c r="BKT60" s="67"/>
      <c r="BKU60" s="67"/>
      <c r="BKV60" s="29"/>
      <c r="BKW60" s="136"/>
      <c r="BKX60" s="29"/>
      <c r="BKY60" s="29"/>
      <c r="BKZ60" s="29"/>
      <c r="BLA60" s="29"/>
      <c r="BLB60" s="29"/>
      <c r="BLC60" s="73"/>
      <c r="BLD60" s="29"/>
      <c r="BLE60" s="29"/>
      <c r="BLF60" s="29"/>
      <c r="BLG60" s="29"/>
      <c r="BLH60" s="29"/>
      <c r="BLI60" s="136"/>
      <c r="BLJ60" s="29"/>
      <c r="BLK60" s="29"/>
      <c r="BLL60" s="29"/>
      <c r="BLM60" s="29"/>
      <c r="BLN60" s="29"/>
      <c r="BLO60" s="73"/>
      <c r="BLP60" s="29"/>
      <c r="BLQ60" s="29"/>
      <c r="BLR60" s="29"/>
      <c r="BLS60" s="29"/>
      <c r="BLT60" s="29"/>
      <c r="BLU60" s="30"/>
      <c r="BLV60" s="28"/>
      <c r="BLW60" s="67"/>
      <c r="BLX60" s="67"/>
      <c r="BLY60" s="67"/>
      <c r="BLZ60" s="29"/>
      <c r="BMA60" s="131"/>
      <c r="BMB60" s="29"/>
      <c r="BMC60" s="29"/>
      <c r="BMD60" s="29"/>
      <c r="BME60" s="29"/>
      <c r="BMF60" s="29"/>
      <c r="BMG60" s="136"/>
      <c r="BMH60" s="29"/>
      <c r="BMI60" s="29"/>
      <c r="BMJ60" s="29"/>
      <c r="BMK60" s="29"/>
      <c r="BML60" s="29"/>
      <c r="BMM60" s="73"/>
      <c r="BMN60" s="29"/>
      <c r="BMO60" s="29"/>
      <c r="BMP60" s="29"/>
      <c r="BMQ60" s="29"/>
      <c r="BMR60" s="29"/>
      <c r="BMS60" s="136"/>
      <c r="BMT60" s="29"/>
      <c r="BMU60" s="29"/>
      <c r="BMV60" s="29"/>
      <c r="BMW60" s="29"/>
      <c r="BMX60" s="29"/>
      <c r="BMY60" s="73"/>
      <c r="BMZ60" s="67"/>
      <c r="BNA60" s="67"/>
      <c r="BNB60" s="67"/>
      <c r="BNC60" s="67"/>
      <c r="BND60" s="29"/>
      <c r="BNE60" s="136"/>
      <c r="BNF60" s="29"/>
      <c r="BNG60" s="29"/>
      <c r="BNH60" s="29"/>
      <c r="BNI60" s="29"/>
      <c r="BNJ60" s="29"/>
      <c r="BNK60" s="73"/>
      <c r="BNL60" s="29"/>
      <c r="BNM60" s="29"/>
      <c r="BNN60" s="29"/>
      <c r="BNO60" s="29"/>
      <c r="BNP60" s="29"/>
      <c r="BNQ60" s="136"/>
      <c r="BNR60" s="29"/>
      <c r="BNS60" s="29"/>
      <c r="BNT60" s="29"/>
      <c r="BNU60" s="29"/>
      <c r="BNV60" s="29"/>
      <c r="BNW60" s="73"/>
      <c r="BNX60" s="29"/>
      <c r="BNY60" s="29"/>
      <c r="BNZ60" s="29"/>
      <c r="BOA60" s="29"/>
      <c r="BOB60" s="29"/>
      <c r="BOC60" s="30"/>
      <c r="BOD60" s="90"/>
    </row>
    <row r="61" spans="1:1746" ht="20.100000000000001" customHeight="1" x14ac:dyDescent="0.25">
      <c r="A61" s="100" t="s">
        <v>19</v>
      </c>
      <c r="B61" s="63"/>
      <c r="C61" s="211" t="s">
        <v>71</v>
      </c>
      <c r="D61" s="146" t="str">
        <f t="shared" si="0"/>
        <v>1h25min</v>
      </c>
      <c r="E61" s="39">
        <v>17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188"/>
      <c r="ATK61" s="185"/>
      <c r="ATL61" s="185"/>
      <c r="ATM61" s="185"/>
      <c r="ATN61" s="183"/>
      <c r="ATO61" s="187"/>
      <c r="ATP61" s="183"/>
      <c r="ATQ61" s="183"/>
      <c r="ATR61" s="183"/>
      <c r="ATS61" s="183"/>
      <c r="ATT61" s="183"/>
      <c r="ATU61" s="186"/>
      <c r="ATV61" s="183"/>
      <c r="ATW61" s="183"/>
      <c r="ATX61" s="183"/>
      <c r="ATY61" s="183"/>
      <c r="ATZ61" s="18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32"/>
      <c r="BJO61" s="64"/>
      <c r="BJP61" s="64"/>
      <c r="BJQ61" s="64"/>
      <c r="BJR61" s="33"/>
      <c r="BJS61" s="132"/>
      <c r="BJT61" s="33"/>
      <c r="BJU61" s="33"/>
      <c r="BJV61" s="33"/>
      <c r="BJW61" s="33"/>
      <c r="BJX61" s="33"/>
      <c r="BJY61" s="137"/>
      <c r="BJZ61" s="33"/>
      <c r="BKA61" s="33"/>
      <c r="BKB61" s="33"/>
      <c r="BKC61" s="33"/>
      <c r="BKD61" s="33"/>
      <c r="BKE61" s="74"/>
      <c r="BKF61" s="33"/>
      <c r="BKG61" s="33"/>
      <c r="BKH61" s="33"/>
      <c r="BKI61" s="33"/>
      <c r="BKJ61" s="33"/>
      <c r="BKK61" s="137"/>
      <c r="BKL61" s="33"/>
      <c r="BKM61" s="33"/>
      <c r="BKN61" s="33"/>
      <c r="BKO61" s="33"/>
      <c r="BKP61" s="33"/>
      <c r="BKQ61" s="74"/>
      <c r="BKR61" s="64"/>
      <c r="BKS61" s="64"/>
      <c r="BKT61" s="64"/>
      <c r="BKU61" s="64"/>
      <c r="BKV61" s="33"/>
      <c r="BKW61" s="137"/>
      <c r="BKX61" s="33"/>
      <c r="BKY61" s="33"/>
      <c r="BKZ61" s="33"/>
      <c r="BLA61" s="33"/>
      <c r="BLB61" s="33"/>
      <c r="BLC61" s="74"/>
      <c r="BLD61" s="33"/>
      <c r="BLE61" s="33"/>
      <c r="BLF61" s="33"/>
      <c r="BLG61" s="33"/>
      <c r="BLH61" s="33"/>
      <c r="BLI61" s="137"/>
      <c r="BLJ61" s="33"/>
      <c r="BLK61" s="33"/>
      <c r="BLL61" s="33"/>
      <c r="BLM61" s="33"/>
      <c r="BLN61" s="33"/>
      <c r="BLO61" s="74"/>
      <c r="BLP61" s="33"/>
      <c r="BLQ61" s="33"/>
      <c r="BLR61" s="33"/>
      <c r="BLS61" s="33"/>
      <c r="BLT61" s="33"/>
      <c r="BLU61" s="34"/>
      <c r="BLV61" s="32"/>
      <c r="BLW61" s="64"/>
      <c r="BLX61" s="64"/>
      <c r="BLY61" s="64"/>
      <c r="BLZ61" s="33"/>
      <c r="BMA61" s="132"/>
      <c r="BMB61" s="33"/>
      <c r="BMC61" s="33"/>
      <c r="BMD61" s="33"/>
      <c r="BME61" s="33"/>
      <c r="BMF61" s="33"/>
      <c r="BMG61" s="137"/>
      <c r="BMH61" s="33"/>
      <c r="BMI61" s="33"/>
      <c r="BMJ61" s="33"/>
      <c r="BMK61" s="33"/>
      <c r="BML61" s="33"/>
      <c r="BMM61" s="74"/>
      <c r="BMN61" s="33"/>
      <c r="BMO61" s="33"/>
      <c r="BMP61" s="33"/>
      <c r="BMQ61" s="33"/>
      <c r="BMR61" s="33"/>
      <c r="BMS61" s="137"/>
      <c r="BMT61" s="33"/>
      <c r="BMU61" s="33"/>
      <c r="BMV61" s="33"/>
      <c r="BMW61" s="33"/>
      <c r="BMX61" s="33"/>
      <c r="BMY61" s="74"/>
      <c r="BMZ61" s="64"/>
      <c r="BNA61" s="64"/>
      <c r="BNB61" s="64"/>
      <c r="BNC61" s="64"/>
      <c r="BND61" s="33"/>
      <c r="BNE61" s="137"/>
      <c r="BNF61" s="33"/>
      <c r="BNG61" s="33"/>
      <c r="BNH61" s="33"/>
      <c r="BNI61" s="33"/>
      <c r="BNJ61" s="33"/>
      <c r="BNK61" s="74"/>
      <c r="BNL61" s="33"/>
      <c r="BNM61" s="33"/>
      <c r="BNN61" s="33"/>
      <c r="BNO61" s="33"/>
      <c r="BNP61" s="33"/>
      <c r="BNQ61" s="137"/>
      <c r="BNR61" s="33"/>
      <c r="BNS61" s="33"/>
      <c r="BNT61" s="33"/>
      <c r="BNU61" s="33"/>
      <c r="BNV61" s="33"/>
      <c r="BNW61" s="74"/>
      <c r="BNX61" s="33"/>
      <c r="BNY61" s="33"/>
      <c r="BNZ61" s="33"/>
      <c r="BOA61" s="33"/>
      <c r="BOB61" s="33"/>
      <c r="BOC61" s="34"/>
      <c r="BOD61" s="90"/>
    </row>
    <row r="62" spans="1:1746" ht="20.100000000000001" customHeight="1" x14ac:dyDescent="0.25">
      <c r="A62" s="100" t="s">
        <v>20</v>
      </c>
      <c r="B62" s="63"/>
      <c r="C62" s="21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36"/>
      <c r="BJO62" s="65"/>
      <c r="BJP62" s="65"/>
      <c r="BJQ62" s="65"/>
      <c r="BJR62" s="37"/>
      <c r="BJS62" s="133"/>
      <c r="BJT62" s="37"/>
      <c r="BJU62" s="37"/>
      <c r="BJV62" s="37"/>
      <c r="BJW62" s="37"/>
      <c r="BJX62" s="37"/>
      <c r="BJY62" s="138"/>
      <c r="BJZ62" s="37"/>
      <c r="BKA62" s="37"/>
      <c r="BKB62" s="37"/>
      <c r="BKC62" s="37"/>
      <c r="BKD62" s="37"/>
      <c r="BKE62" s="75"/>
      <c r="BKF62" s="37"/>
      <c r="BKG62" s="37"/>
      <c r="BKH62" s="37"/>
      <c r="BKI62" s="37"/>
      <c r="BKJ62" s="37"/>
      <c r="BKK62" s="138"/>
      <c r="BKL62" s="37"/>
      <c r="BKM62" s="37"/>
      <c r="BKN62" s="37"/>
      <c r="BKO62" s="37"/>
      <c r="BKP62" s="37"/>
      <c r="BKQ62" s="75"/>
      <c r="BKR62" s="65"/>
      <c r="BKS62" s="65"/>
      <c r="BKT62" s="65"/>
      <c r="BKU62" s="65"/>
      <c r="BKV62" s="37"/>
      <c r="BKW62" s="138"/>
      <c r="BKX62" s="37"/>
      <c r="BKY62" s="37"/>
      <c r="BKZ62" s="37"/>
      <c r="BLA62" s="37"/>
      <c r="BLB62" s="37"/>
      <c r="BLC62" s="75"/>
      <c r="BLD62" s="37"/>
      <c r="BLE62" s="37"/>
      <c r="BLF62" s="37"/>
      <c r="BLG62" s="37"/>
      <c r="BLH62" s="37"/>
      <c r="BLI62" s="138"/>
      <c r="BLJ62" s="37"/>
      <c r="BLK62" s="37"/>
      <c r="BLL62" s="37"/>
      <c r="BLM62" s="37"/>
      <c r="BLN62" s="37"/>
      <c r="BLO62" s="75"/>
      <c r="BLP62" s="37"/>
      <c r="BLQ62" s="37"/>
      <c r="BLR62" s="37"/>
      <c r="BLS62" s="37"/>
      <c r="BLT62" s="37"/>
      <c r="BLU62" s="38"/>
      <c r="BLV62" s="36"/>
      <c r="BLW62" s="65"/>
      <c r="BLX62" s="65"/>
      <c r="BLY62" s="65"/>
      <c r="BLZ62" s="37"/>
      <c r="BMA62" s="133"/>
      <c r="BMB62" s="37"/>
      <c r="BMC62" s="37"/>
      <c r="BMD62" s="37"/>
      <c r="BME62" s="37"/>
      <c r="BMF62" s="37"/>
      <c r="BMG62" s="138"/>
      <c r="BMH62" s="37"/>
      <c r="BMI62" s="37"/>
      <c r="BMJ62" s="37"/>
      <c r="BMK62" s="37"/>
      <c r="BML62" s="37"/>
      <c r="BMM62" s="75"/>
      <c r="BMN62" s="37"/>
      <c r="BMO62" s="37"/>
      <c r="BMP62" s="37"/>
      <c r="BMQ62" s="37"/>
      <c r="BMR62" s="37"/>
      <c r="BMS62" s="138"/>
      <c r="BMT62" s="37"/>
      <c r="BMU62" s="37"/>
      <c r="BMV62" s="37"/>
      <c r="BMW62" s="37"/>
      <c r="BMX62" s="37"/>
      <c r="BMY62" s="75"/>
      <c r="BMZ62" s="65"/>
      <c r="BNA62" s="65"/>
      <c r="BNB62" s="65"/>
      <c r="BNC62" s="65"/>
      <c r="BND62" s="37"/>
      <c r="BNE62" s="138"/>
      <c r="BNF62" s="37"/>
      <c r="BNG62" s="37"/>
      <c r="BNH62" s="37"/>
      <c r="BNI62" s="37"/>
      <c r="BNJ62" s="37"/>
      <c r="BNK62" s="75"/>
      <c r="BNL62" s="37"/>
      <c r="BNM62" s="37"/>
      <c r="BNN62" s="37"/>
      <c r="BNO62" s="37"/>
      <c r="BNP62" s="37"/>
      <c r="BNQ62" s="138"/>
      <c r="BNR62" s="37"/>
      <c r="BNS62" s="37"/>
      <c r="BNT62" s="37"/>
      <c r="BNU62" s="37"/>
      <c r="BNV62" s="37"/>
      <c r="BNW62" s="75"/>
      <c r="BNX62" s="37"/>
      <c r="BNY62" s="37"/>
      <c r="BNZ62" s="37"/>
      <c r="BOA62" s="37"/>
      <c r="BOB62" s="37"/>
      <c r="BOC62" s="38"/>
      <c r="BOD62" s="90"/>
    </row>
    <row r="63" spans="1:1746" ht="20.100000000000001" customHeight="1" x14ac:dyDescent="0.25">
      <c r="A63" s="100" t="s">
        <v>19</v>
      </c>
      <c r="B63" s="63"/>
      <c r="C63" s="211" t="s">
        <v>72</v>
      </c>
      <c r="D63" s="146" t="str">
        <f t="shared" si="0"/>
        <v>0h50min</v>
      </c>
      <c r="E63" s="39">
        <v>10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177"/>
      <c r="AVS63" s="178"/>
      <c r="AVT63" s="178"/>
      <c r="AVU63" s="178"/>
      <c r="AVV63" s="179"/>
      <c r="AVW63" s="180"/>
      <c r="AVX63" s="179"/>
      <c r="AVY63" s="179"/>
      <c r="AVZ63" s="179"/>
      <c r="AWA63" s="179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40"/>
      <c r="BJO63" s="66"/>
      <c r="BJP63" s="66"/>
      <c r="BJQ63" s="66"/>
      <c r="BJR63" s="41"/>
      <c r="BJS63" s="134"/>
      <c r="BJT63" s="41"/>
      <c r="BJU63" s="41"/>
      <c r="BJV63" s="41"/>
      <c r="BJW63" s="41"/>
      <c r="BJX63" s="41"/>
      <c r="BJY63" s="139"/>
      <c r="BJZ63" s="41"/>
      <c r="BKA63" s="41"/>
      <c r="BKB63" s="41"/>
      <c r="BKC63" s="41"/>
      <c r="BKD63" s="41"/>
      <c r="BKE63" s="76"/>
      <c r="BKF63" s="41"/>
      <c r="BKG63" s="41"/>
      <c r="BKH63" s="41"/>
      <c r="BKI63" s="41"/>
      <c r="BKJ63" s="41"/>
      <c r="BKK63" s="139"/>
      <c r="BKL63" s="41"/>
      <c r="BKM63" s="41"/>
      <c r="BKN63" s="41"/>
      <c r="BKO63" s="41"/>
      <c r="BKP63" s="41"/>
      <c r="BKQ63" s="76"/>
      <c r="BKR63" s="66"/>
      <c r="BKS63" s="66"/>
      <c r="BKT63" s="66"/>
      <c r="BKU63" s="66"/>
      <c r="BKV63" s="41"/>
      <c r="BKW63" s="139"/>
      <c r="BKX63" s="41"/>
      <c r="BKY63" s="41"/>
      <c r="BKZ63" s="41"/>
      <c r="BLA63" s="41"/>
      <c r="BLB63" s="41"/>
      <c r="BLC63" s="76"/>
      <c r="BLD63" s="41"/>
      <c r="BLE63" s="41"/>
      <c r="BLF63" s="41"/>
      <c r="BLG63" s="41"/>
      <c r="BLH63" s="41"/>
      <c r="BLI63" s="139"/>
      <c r="BLJ63" s="41"/>
      <c r="BLK63" s="41"/>
      <c r="BLL63" s="41"/>
      <c r="BLM63" s="41"/>
      <c r="BLN63" s="41"/>
      <c r="BLO63" s="76"/>
      <c r="BLP63" s="41"/>
      <c r="BLQ63" s="41"/>
      <c r="BLR63" s="41"/>
      <c r="BLS63" s="41"/>
      <c r="BLT63" s="41"/>
      <c r="BLU63" s="42"/>
      <c r="BLV63" s="40"/>
      <c r="BLW63" s="66"/>
      <c r="BLX63" s="66"/>
      <c r="BLY63" s="66"/>
      <c r="BLZ63" s="41"/>
      <c r="BMA63" s="134"/>
      <c r="BMB63" s="41"/>
      <c r="BMC63" s="41"/>
      <c r="BMD63" s="41"/>
      <c r="BME63" s="41"/>
      <c r="BMF63" s="41"/>
      <c r="BMG63" s="139"/>
      <c r="BMH63" s="41"/>
      <c r="BMI63" s="41"/>
      <c r="BMJ63" s="41"/>
      <c r="BMK63" s="41"/>
      <c r="BML63" s="41"/>
      <c r="BMM63" s="76"/>
      <c r="BMN63" s="41"/>
      <c r="BMO63" s="41"/>
      <c r="BMP63" s="41"/>
      <c r="BMQ63" s="41"/>
      <c r="BMR63" s="41"/>
      <c r="BMS63" s="139"/>
      <c r="BMT63" s="41"/>
      <c r="BMU63" s="41"/>
      <c r="BMV63" s="41"/>
      <c r="BMW63" s="41"/>
      <c r="BMX63" s="41"/>
      <c r="BMY63" s="76"/>
      <c r="BMZ63" s="66"/>
      <c r="BNA63" s="66"/>
      <c r="BNB63" s="66"/>
      <c r="BNC63" s="66"/>
      <c r="BND63" s="41"/>
      <c r="BNE63" s="139"/>
      <c r="BNF63" s="41"/>
      <c r="BNG63" s="41"/>
      <c r="BNH63" s="41"/>
      <c r="BNI63" s="41"/>
      <c r="BNJ63" s="41"/>
      <c r="BNK63" s="76"/>
      <c r="BNL63" s="41"/>
      <c r="BNM63" s="41"/>
      <c r="BNN63" s="41"/>
      <c r="BNO63" s="41"/>
      <c r="BNP63" s="41"/>
      <c r="BNQ63" s="139"/>
      <c r="BNR63" s="41"/>
      <c r="BNS63" s="41"/>
      <c r="BNT63" s="41"/>
      <c r="BNU63" s="41"/>
      <c r="BNV63" s="41"/>
      <c r="BNW63" s="76"/>
      <c r="BNX63" s="41"/>
      <c r="BNY63" s="41"/>
      <c r="BNZ63" s="41"/>
      <c r="BOA63" s="41"/>
      <c r="BOB63" s="41"/>
      <c r="BOC63" s="42"/>
      <c r="BOD63" s="90"/>
    </row>
    <row r="64" spans="1:1746" ht="20.100000000000001" customHeight="1" x14ac:dyDescent="0.3">
      <c r="A64" s="100" t="s">
        <v>20</v>
      </c>
      <c r="B64" s="63"/>
      <c r="C64" s="213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28"/>
      <c r="BJO64" s="67"/>
      <c r="BJP64" s="67"/>
      <c r="BJQ64" s="67"/>
      <c r="BJR64" s="29"/>
      <c r="BJS64" s="131"/>
      <c r="BJT64" s="29"/>
      <c r="BJU64" s="29"/>
      <c r="BJV64" s="29"/>
      <c r="BJW64" s="29"/>
      <c r="BJX64" s="29"/>
      <c r="BJY64" s="136"/>
      <c r="BJZ64" s="29"/>
      <c r="BKA64" s="29"/>
      <c r="BKB64" s="29"/>
      <c r="BKC64" s="29"/>
      <c r="BKD64" s="29"/>
      <c r="BKE64" s="73"/>
      <c r="BKF64" s="29"/>
      <c r="BKG64" s="29"/>
      <c r="BKH64" s="29"/>
      <c r="BKI64" s="29"/>
      <c r="BKJ64" s="29"/>
      <c r="BKK64" s="136"/>
      <c r="BKL64" s="29"/>
      <c r="BKM64" s="29"/>
      <c r="BKN64" s="29"/>
      <c r="BKO64" s="29"/>
      <c r="BKP64" s="29"/>
      <c r="BKQ64" s="73"/>
      <c r="BKR64" s="67"/>
      <c r="BKS64" s="67"/>
      <c r="BKT64" s="67"/>
      <c r="BKU64" s="67"/>
      <c r="BKV64" s="29"/>
      <c r="BKW64" s="136"/>
      <c r="BKX64" s="29"/>
      <c r="BKY64" s="29"/>
      <c r="BKZ64" s="29"/>
      <c r="BLA64" s="29"/>
      <c r="BLB64" s="29"/>
      <c r="BLC64" s="73"/>
      <c r="BLD64" s="29"/>
      <c r="BLE64" s="29"/>
      <c r="BLF64" s="29"/>
      <c r="BLG64" s="29"/>
      <c r="BLH64" s="29"/>
      <c r="BLI64" s="136"/>
      <c r="BLJ64" s="29"/>
      <c r="BLK64" s="29"/>
      <c r="BLL64" s="29"/>
      <c r="BLM64" s="29"/>
      <c r="BLN64" s="29"/>
      <c r="BLO64" s="73"/>
      <c r="BLP64" s="29"/>
      <c r="BLQ64" s="29"/>
      <c r="BLR64" s="29"/>
      <c r="BLS64" s="29"/>
      <c r="BLT64" s="29"/>
      <c r="BLU64" s="30"/>
      <c r="BLV64" s="28"/>
      <c r="BLW64" s="67"/>
      <c r="BLX64" s="67"/>
      <c r="BLY64" s="67"/>
      <c r="BLZ64" s="29"/>
      <c r="BMA64" s="131"/>
      <c r="BMB64" s="29"/>
      <c r="BMC64" s="29"/>
      <c r="BMD64" s="29"/>
      <c r="BME64" s="29"/>
      <c r="BMF64" s="29"/>
      <c r="BMG64" s="136"/>
      <c r="BMH64" s="29"/>
      <c r="BMI64" s="29"/>
      <c r="BMJ64" s="29"/>
      <c r="BMK64" s="29"/>
      <c r="BML64" s="29"/>
      <c r="BMM64" s="73"/>
      <c r="BMN64" s="29"/>
      <c r="BMO64" s="29"/>
      <c r="BMP64" s="29"/>
      <c r="BMQ64" s="29"/>
      <c r="BMR64" s="29"/>
      <c r="BMS64" s="136"/>
      <c r="BMT64" s="29"/>
      <c r="BMU64" s="29"/>
      <c r="BMV64" s="29"/>
      <c r="BMW64" s="29"/>
      <c r="BMX64" s="29"/>
      <c r="BMY64" s="73"/>
      <c r="BMZ64" s="67"/>
      <c r="BNA64" s="67"/>
      <c r="BNB64" s="67"/>
      <c r="BNC64" s="67"/>
      <c r="BND64" s="29"/>
      <c r="BNE64" s="136"/>
      <c r="BNF64" s="29"/>
      <c r="BNG64" s="29"/>
      <c r="BNH64" s="29"/>
      <c r="BNI64" s="29"/>
      <c r="BNJ64" s="29"/>
      <c r="BNK64" s="73"/>
      <c r="BNL64" s="29"/>
      <c r="BNM64" s="29"/>
      <c r="BNN64" s="29"/>
      <c r="BNO64" s="29"/>
      <c r="BNP64" s="29"/>
      <c r="BNQ64" s="136"/>
      <c r="BNR64" s="29"/>
      <c r="BNS64" s="29"/>
      <c r="BNT64" s="29"/>
      <c r="BNU64" s="29"/>
      <c r="BNV64" s="29"/>
      <c r="BNW64" s="73"/>
      <c r="BNX64" s="29"/>
      <c r="BNY64" s="29"/>
      <c r="BNZ64" s="29"/>
      <c r="BOA64" s="29"/>
      <c r="BOB64" s="29"/>
      <c r="BOC64" s="30"/>
      <c r="BOD64" s="90"/>
    </row>
    <row r="65" spans="1:1746" ht="20.100000000000001" customHeight="1" x14ac:dyDescent="0.25">
      <c r="A65" s="100" t="s">
        <v>19</v>
      </c>
      <c r="B65" s="63"/>
      <c r="C65" s="211" t="s">
        <v>73</v>
      </c>
      <c r="D65" s="146" t="str">
        <f t="shared" si="0"/>
        <v>0h25min</v>
      </c>
      <c r="E65" s="31">
        <v>5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183"/>
      <c r="AWC65" s="186"/>
      <c r="AWD65" s="183"/>
      <c r="AWE65" s="183"/>
      <c r="AWF65" s="18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32"/>
      <c r="BJO65" s="64"/>
      <c r="BJP65" s="64"/>
      <c r="BJQ65" s="64"/>
      <c r="BJR65" s="33"/>
      <c r="BJS65" s="132"/>
      <c r="BJT65" s="33"/>
      <c r="BJU65" s="33"/>
      <c r="BJV65" s="33"/>
      <c r="BJW65" s="33"/>
      <c r="BJX65" s="33"/>
      <c r="BJY65" s="137"/>
      <c r="BJZ65" s="33"/>
      <c r="BKA65" s="33"/>
      <c r="BKB65" s="33"/>
      <c r="BKC65" s="33"/>
      <c r="BKD65" s="33"/>
      <c r="BKE65" s="74"/>
      <c r="BKF65" s="33"/>
      <c r="BKG65" s="33"/>
      <c r="BKH65" s="33"/>
      <c r="BKI65" s="33"/>
      <c r="BKJ65" s="33"/>
      <c r="BKK65" s="137"/>
      <c r="BKL65" s="33"/>
      <c r="BKM65" s="33"/>
      <c r="BKN65" s="33"/>
      <c r="BKO65" s="33"/>
      <c r="BKP65" s="33"/>
      <c r="BKQ65" s="74"/>
      <c r="BKR65" s="64"/>
      <c r="BKS65" s="64"/>
      <c r="BKT65" s="64"/>
      <c r="BKU65" s="64"/>
      <c r="BKV65" s="33"/>
      <c r="BKW65" s="137"/>
      <c r="BKX65" s="33"/>
      <c r="BKY65" s="33"/>
      <c r="BKZ65" s="33"/>
      <c r="BLA65" s="33"/>
      <c r="BLB65" s="33"/>
      <c r="BLC65" s="74"/>
      <c r="BLD65" s="33"/>
      <c r="BLE65" s="33"/>
      <c r="BLF65" s="33"/>
      <c r="BLG65" s="33"/>
      <c r="BLH65" s="33"/>
      <c r="BLI65" s="137"/>
      <c r="BLJ65" s="33"/>
      <c r="BLK65" s="33"/>
      <c r="BLL65" s="33"/>
      <c r="BLM65" s="33"/>
      <c r="BLN65" s="33"/>
      <c r="BLO65" s="74"/>
      <c r="BLP65" s="33"/>
      <c r="BLQ65" s="33"/>
      <c r="BLR65" s="33"/>
      <c r="BLS65" s="33"/>
      <c r="BLT65" s="33"/>
      <c r="BLU65" s="34"/>
      <c r="BLV65" s="32"/>
      <c r="BLW65" s="64"/>
      <c r="BLX65" s="64"/>
      <c r="BLY65" s="64"/>
      <c r="BLZ65" s="33"/>
      <c r="BMA65" s="132"/>
      <c r="BMB65" s="33"/>
      <c r="BMC65" s="33"/>
      <c r="BMD65" s="33"/>
      <c r="BME65" s="33"/>
      <c r="BMF65" s="33"/>
      <c r="BMG65" s="137"/>
      <c r="BMH65" s="33"/>
      <c r="BMI65" s="33"/>
      <c r="BMJ65" s="33"/>
      <c r="BMK65" s="33"/>
      <c r="BML65" s="33"/>
      <c r="BMM65" s="74"/>
      <c r="BMN65" s="33"/>
      <c r="BMO65" s="33"/>
      <c r="BMP65" s="33"/>
      <c r="BMQ65" s="33"/>
      <c r="BMR65" s="33"/>
      <c r="BMS65" s="137"/>
      <c r="BMT65" s="33"/>
      <c r="BMU65" s="33"/>
      <c r="BMV65" s="33"/>
      <c r="BMW65" s="33"/>
      <c r="BMX65" s="33"/>
      <c r="BMY65" s="74"/>
      <c r="BMZ65" s="64"/>
      <c r="BNA65" s="64"/>
      <c r="BNB65" s="64"/>
      <c r="BNC65" s="64"/>
      <c r="BND65" s="33"/>
      <c r="BNE65" s="137"/>
      <c r="BNF65" s="33"/>
      <c r="BNG65" s="33"/>
      <c r="BNH65" s="33"/>
      <c r="BNI65" s="33"/>
      <c r="BNJ65" s="33"/>
      <c r="BNK65" s="74"/>
      <c r="BNL65" s="33"/>
      <c r="BNM65" s="33"/>
      <c r="BNN65" s="33"/>
      <c r="BNO65" s="33"/>
      <c r="BNP65" s="33"/>
      <c r="BNQ65" s="137"/>
      <c r="BNR65" s="33"/>
      <c r="BNS65" s="33"/>
      <c r="BNT65" s="33"/>
      <c r="BNU65" s="33"/>
      <c r="BNV65" s="33"/>
      <c r="BNW65" s="74"/>
      <c r="BNX65" s="33"/>
      <c r="BNY65" s="33"/>
      <c r="BNZ65" s="33"/>
      <c r="BOA65" s="33"/>
      <c r="BOB65" s="33"/>
      <c r="BOC65" s="34"/>
      <c r="BOD65" s="90"/>
    </row>
    <row r="66" spans="1:1746" ht="20.100000000000001" customHeight="1" x14ac:dyDescent="0.3">
      <c r="A66" s="100" t="s">
        <v>20</v>
      </c>
      <c r="B66" s="63"/>
      <c r="C66" s="212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36"/>
      <c r="BJO66" s="65"/>
      <c r="BJP66" s="65"/>
      <c r="BJQ66" s="65"/>
      <c r="BJR66" s="37"/>
      <c r="BJS66" s="133"/>
      <c r="BJT66" s="37"/>
      <c r="BJU66" s="37"/>
      <c r="BJV66" s="37"/>
      <c r="BJW66" s="37"/>
      <c r="BJX66" s="37"/>
      <c r="BJY66" s="138"/>
      <c r="BJZ66" s="37"/>
      <c r="BKA66" s="37"/>
      <c r="BKB66" s="37"/>
      <c r="BKC66" s="37"/>
      <c r="BKD66" s="37"/>
      <c r="BKE66" s="75"/>
      <c r="BKF66" s="37"/>
      <c r="BKG66" s="37"/>
      <c r="BKH66" s="37"/>
      <c r="BKI66" s="37"/>
      <c r="BKJ66" s="37"/>
      <c r="BKK66" s="138"/>
      <c r="BKL66" s="37"/>
      <c r="BKM66" s="37"/>
      <c r="BKN66" s="37"/>
      <c r="BKO66" s="37"/>
      <c r="BKP66" s="37"/>
      <c r="BKQ66" s="75"/>
      <c r="BKR66" s="65"/>
      <c r="BKS66" s="65"/>
      <c r="BKT66" s="65"/>
      <c r="BKU66" s="65"/>
      <c r="BKV66" s="37"/>
      <c r="BKW66" s="138"/>
      <c r="BKX66" s="37"/>
      <c r="BKY66" s="37"/>
      <c r="BKZ66" s="37"/>
      <c r="BLA66" s="37"/>
      <c r="BLB66" s="37"/>
      <c r="BLC66" s="75"/>
      <c r="BLD66" s="37"/>
      <c r="BLE66" s="37"/>
      <c r="BLF66" s="37"/>
      <c r="BLG66" s="37"/>
      <c r="BLH66" s="37"/>
      <c r="BLI66" s="138"/>
      <c r="BLJ66" s="37"/>
      <c r="BLK66" s="37"/>
      <c r="BLL66" s="37"/>
      <c r="BLM66" s="37"/>
      <c r="BLN66" s="37"/>
      <c r="BLO66" s="75"/>
      <c r="BLP66" s="37"/>
      <c r="BLQ66" s="37"/>
      <c r="BLR66" s="37"/>
      <c r="BLS66" s="37"/>
      <c r="BLT66" s="37"/>
      <c r="BLU66" s="38"/>
      <c r="BLV66" s="36"/>
      <c r="BLW66" s="65"/>
      <c r="BLX66" s="65"/>
      <c r="BLY66" s="65"/>
      <c r="BLZ66" s="37"/>
      <c r="BMA66" s="133"/>
      <c r="BMB66" s="37"/>
      <c r="BMC66" s="37"/>
      <c r="BMD66" s="37"/>
      <c r="BME66" s="37"/>
      <c r="BMF66" s="37"/>
      <c r="BMG66" s="138"/>
      <c r="BMH66" s="37"/>
      <c r="BMI66" s="37"/>
      <c r="BMJ66" s="37"/>
      <c r="BMK66" s="37"/>
      <c r="BML66" s="37"/>
      <c r="BMM66" s="75"/>
      <c r="BMN66" s="37"/>
      <c r="BMO66" s="37"/>
      <c r="BMP66" s="37"/>
      <c r="BMQ66" s="37"/>
      <c r="BMR66" s="37"/>
      <c r="BMS66" s="138"/>
      <c r="BMT66" s="37"/>
      <c r="BMU66" s="37"/>
      <c r="BMV66" s="37"/>
      <c r="BMW66" s="37"/>
      <c r="BMX66" s="37"/>
      <c r="BMY66" s="75"/>
      <c r="BMZ66" s="65"/>
      <c r="BNA66" s="65"/>
      <c r="BNB66" s="65"/>
      <c r="BNC66" s="65"/>
      <c r="BND66" s="37"/>
      <c r="BNE66" s="138"/>
      <c r="BNF66" s="37"/>
      <c r="BNG66" s="37"/>
      <c r="BNH66" s="37"/>
      <c r="BNI66" s="37"/>
      <c r="BNJ66" s="37"/>
      <c r="BNK66" s="75"/>
      <c r="BNL66" s="37"/>
      <c r="BNM66" s="37"/>
      <c r="BNN66" s="37"/>
      <c r="BNO66" s="37"/>
      <c r="BNP66" s="37"/>
      <c r="BNQ66" s="138"/>
      <c r="BNR66" s="37"/>
      <c r="BNS66" s="37"/>
      <c r="BNT66" s="37"/>
      <c r="BNU66" s="37"/>
      <c r="BNV66" s="37"/>
      <c r="BNW66" s="75"/>
      <c r="BNX66" s="37"/>
      <c r="BNY66" s="37"/>
      <c r="BNZ66" s="37"/>
      <c r="BOA66" s="37"/>
      <c r="BOB66" s="37"/>
      <c r="BOC66" s="38"/>
      <c r="BOD66" s="90"/>
    </row>
    <row r="67" spans="1:1746" ht="20.100000000000001" customHeight="1" x14ac:dyDescent="0.25">
      <c r="A67" s="100" t="s">
        <v>19</v>
      </c>
      <c r="B67" s="63"/>
      <c r="C67" s="211" t="s">
        <v>74</v>
      </c>
      <c r="D67" s="146" t="str">
        <f t="shared" si="0"/>
        <v>3h20min</v>
      </c>
      <c r="E67" s="39">
        <v>40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179"/>
      <c r="AWR67" s="179"/>
      <c r="AWS67" s="179"/>
      <c r="AWT67" s="179"/>
      <c r="AWU67" s="182"/>
      <c r="AWV67" s="178"/>
      <c r="AWW67" s="178"/>
      <c r="AWX67" s="178"/>
      <c r="AWY67" s="178"/>
      <c r="AWZ67" s="179"/>
      <c r="AXA67" s="181"/>
      <c r="AXB67" s="179"/>
      <c r="AXC67" s="179"/>
      <c r="AXD67" s="179"/>
      <c r="AXE67" s="179"/>
      <c r="AXF67" s="179"/>
      <c r="AXG67" s="182"/>
      <c r="AXH67" s="179"/>
      <c r="AXI67" s="179"/>
      <c r="AXJ67" s="179"/>
      <c r="AXK67" s="179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177"/>
      <c r="AYA67" s="178"/>
      <c r="AYB67" s="178"/>
      <c r="AYC67" s="178"/>
      <c r="AYD67" s="179"/>
      <c r="AYE67" s="180"/>
      <c r="AYF67" s="179"/>
      <c r="AYG67" s="179"/>
      <c r="AYH67" s="179"/>
      <c r="AYI67" s="179"/>
      <c r="AYJ67" s="179"/>
      <c r="AYK67" s="181"/>
      <c r="AYL67" s="179"/>
      <c r="AYM67" s="179"/>
      <c r="AYN67" s="179"/>
      <c r="AYO67" s="179"/>
      <c r="AYP67" s="179"/>
      <c r="AYQ67" s="182"/>
      <c r="AYR67" s="179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40"/>
      <c r="BJO67" s="66"/>
      <c r="BJP67" s="66"/>
      <c r="BJQ67" s="66"/>
      <c r="BJR67" s="41"/>
      <c r="BJS67" s="134"/>
      <c r="BJT67" s="41"/>
      <c r="BJU67" s="41"/>
      <c r="BJV67" s="41"/>
      <c r="BJW67" s="41"/>
      <c r="BJX67" s="41"/>
      <c r="BJY67" s="139"/>
      <c r="BJZ67" s="41"/>
      <c r="BKA67" s="41"/>
      <c r="BKB67" s="41"/>
      <c r="BKC67" s="41"/>
      <c r="BKD67" s="41"/>
      <c r="BKE67" s="76"/>
      <c r="BKF67" s="41"/>
      <c r="BKG67" s="41"/>
      <c r="BKH67" s="41"/>
      <c r="BKI67" s="41"/>
      <c r="BKJ67" s="41"/>
      <c r="BKK67" s="139"/>
      <c r="BKL67" s="41"/>
      <c r="BKM67" s="41"/>
      <c r="BKN67" s="41"/>
      <c r="BKO67" s="41"/>
      <c r="BKP67" s="41"/>
      <c r="BKQ67" s="76"/>
      <c r="BKR67" s="66"/>
      <c r="BKS67" s="66"/>
      <c r="BKT67" s="66"/>
      <c r="BKU67" s="66"/>
      <c r="BKV67" s="41"/>
      <c r="BKW67" s="139"/>
      <c r="BKX67" s="41"/>
      <c r="BKY67" s="41"/>
      <c r="BKZ67" s="41"/>
      <c r="BLA67" s="41"/>
      <c r="BLB67" s="41"/>
      <c r="BLC67" s="76"/>
      <c r="BLD67" s="41"/>
      <c r="BLE67" s="41"/>
      <c r="BLF67" s="41"/>
      <c r="BLG67" s="41"/>
      <c r="BLH67" s="41"/>
      <c r="BLI67" s="139"/>
      <c r="BLJ67" s="41"/>
      <c r="BLK67" s="41"/>
      <c r="BLL67" s="41"/>
      <c r="BLM67" s="41"/>
      <c r="BLN67" s="41"/>
      <c r="BLO67" s="76"/>
      <c r="BLP67" s="41"/>
      <c r="BLQ67" s="41"/>
      <c r="BLR67" s="41"/>
      <c r="BLS67" s="41"/>
      <c r="BLT67" s="41"/>
      <c r="BLU67" s="42"/>
      <c r="BLV67" s="40"/>
      <c r="BLW67" s="66"/>
      <c r="BLX67" s="66"/>
      <c r="BLY67" s="66"/>
      <c r="BLZ67" s="41"/>
      <c r="BMA67" s="134"/>
      <c r="BMB67" s="41"/>
      <c r="BMC67" s="41"/>
      <c r="BMD67" s="41"/>
      <c r="BME67" s="41"/>
      <c r="BMF67" s="41"/>
      <c r="BMG67" s="139"/>
      <c r="BMH67" s="41"/>
      <c r="BMI67" s="41"/>
      <c r="BMJ67" s="41"/>
      <c r="BMK67" s="41"/>
      <c r="BML67" s="41"/>
      <c r="BMM67" s="76"/>
      <c r="BMN67" s="41"/>
      <c r="BMO67" s="41"/>
      <c r="BMP67" s="41"/>
      <c r="BMQ67" s="41"/>
      <c r="BMR67" s="41"/>
      <c r="BMS67" s="139"/>
      <c r="BMT67" s="41"/>
      <c r="BMU67" s="41"/>
      <c r="BMV67" s="41"/>
      <c r="BMW67" s="41"/>
      <c r="BMX67" s="41"/>
      <c r="BMY67" s="76"/>
      <c r="BMZ67" s="66"/>
      <c r="BNA67" s="66"/>
      <c r="BNB67" s="66"/>
      <c r="BNC67" s="66"/>
      <c r="BND67" s="41"/>
      <c r="BNE67" s="139"/>
      <c r="BNF67" s="41"/>
      <c r="BNG67" s="41"/>
      <c r="BNH67" s="41"/>
      <c r="BNI67" s="41"/>
      <c r="BNJ67" s="41"/>
      <c r="BNK67" s="76"/>
      <c r="BNL67" s="41"/>
      <c r="BNM67" s="41"/>
      <c r="BNN67" s="41"/>
      <c r="BNO67" s="41"/>
      <c r="BNP67" s="41"/>
      <c r="BNQ67" s="139"/>
      <c r="BNR67" s="41"/>
      <c r="BNS67" s="41"/>
      <c r="BNT67" s="41"/>
      <c r="BNU67" s="41"/>
      <c r="BNV67" s="41"/>
      <c r="BNW67" s="76"/>
      <c r="BNX67" s="41"/>
      <c r="BNY67" s="41"/>
      <c r="BNZ67" s="41"/>
      <c r="BOA67" s="41"/>
      <c r="BOB67" s="41"/>
      <c r="BOC67" s="42"/>
      <c r="BOD67" s="90"/>
    </row>
    <row r="68" spans="1:1746" ht="20.100000000000001" customHeight="1" x14ac:dyDescent="0.25">
      <c r="A68" s="100" t="s">
        <v>20</v>
      </c>
      <c r="B68" s="63"/>
      <c r="C68" s="213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28"/>
      <c r="BJO68" s="67"/>
      <c r="BJP68" s="67"/>
      <c r="BJQ68" s="67"/>
      <c r="BJR68" s="29"/>
      <c r="BJS68" s="131"/>
      <c r="BJT68" s="29"/>
      <c r="BJU68" s="29"/>
      <c r="BJV68" s="29"/>
      <c r="BJW68" s="29"/>
      <c r="BJX68" s="29"/>
      <c r="BJY68" s="136"/>
      <c r="BJZ68" s="29"/>
      <c r="BKA68" s="29"/>
      <c r="BKB68" s="29"/>
      <c r="BKC68" s="29"/>
      <c r="BKD68" s="29"/>
      <c r="BKE68" s="73"/>
      <c r="BKF68" s="29"/>
      <c r="BKG68" s="29"/>
      <c r="BKH68" s="29"/>
      <c r="BKI68" s="29"/>
      <c r="BKJ68" s="29"/>
      <c r="BKK68" s="136"/>
      <c r="BKL68" s="29"/>
      <c r="BKM68" s="29"/>
      <c r="BKN68" s="29"/>
      <c r="BKO68" s="29"/>
      <c r="BKP68" s="29"/>
      <c r="BKQ68" s="73"/>
      <c r="BKR68" s="67"/>
      <c r="BKS68" s="67"/>
      <c r="BKT68" s="67"/>
      <c r="BKU68" s="67"/>
      <c r="BKV68" s="29"/>
      <c r="BKW68" s="136"/>
      <c r="BKX68" s="29"/>
      <c r="BKY68" s="29"/>
      <c r="BKZ68" s="29"/>
      <c r="BLA68" s="29"/>
      <c r="BLB68" s="29"/>
      <c r="BLC68" s="73"/>
      <c r="BLD68" s="29"/>
      <c r="BLE68" s="29"/>
      <c r="BLF68" s="29"/>
      <c r="BLG68" s="29"/>
      <c r="BLH68" s="29"/>
      <c r="BLI68" s="136"/>
      <c r="BLJ68" s="29"/>
      <c r="BLK68" s="29"/>
      <c r="BLL68" s="29"/>
      <c r="BLM68" s="29"/>
      <c r="BLN68" s="29"/>
      <c r="BLO68" s="73"/>
      <c r="BLP68" s="29"/>
      <c r="BLQ68" s="29"/>
      <c r="BLR68" s="29"/>
      <c r="BLS68" s="29"/>
      <c r="BLT68" s="29"/>
      <c r="BLU68" s="30"/>
      <c r="BLV68" s="28"/>
      <c r="BLW68" s="67"/>
      <c r="BLX68" s="67"/>
      <c r="BLY68" s="67"/>
      <c r="BLZ68" s="29"/>
      <c r="BMA68" s="131"/>
      <c r="BMB68" s="29"/>
      <c r="BMC68" s="29"/>
      <c r="BMD68" s="29"/>
      <c r="BME68" s="29"/>
      <c r="BMF68" s="29"/>
      <c r="BMG68" s="136"/>
      <c r="BMH68" s="29"/>
      <c r="BMI68" s="29"/>
      <c r="BMJ68" s="29"/>
      <c r="BMK68" s="29"/>
      <c r="BML68" s="29"/>
      <c r="BMM68" s="73"/>
      <c r="BMN68" s="29"/>
      <c r="BMO68" s="29"/>
      <c r="BMP68" s="29"/>
      <c r="BMQ68" s="29"/>
      <c r="BMR68" s="29"/>
      <c r="BMS68" s="136"/>
      <c r="BMT68" s="29"/>
      <c r="BMU68" s="29"/>
      <c r="BMV68" s="29"/>
      <c r="BMW68" s="29"/>
      <c r="BMX68" s="29"/>
      <c r="BMY68" s="73"/>
      <c r="BMZ68" s="67"/>
      <c r="BNA68" s="67"/>
      <c r="BNB68" s="67"/>
      <c r="BNC68" s="67"/>
      <c r="BND68" s="29"/>
      <c r="BNE68" s="136"/>
      <c r="BNF68" s="29"/>
      <c r="BNG68" s="29"/>
      <c r="BNH68" s="29"/>
      <c r="BNI68" s="29"/>
      <c r="BNJ68" s="29"/>
      <c r="BNK68" s="73"/>
      <c r="BNL68" s="29"/>
      <c r="BNM68" s="29"/>
      <c r="BNN68" s="29"/>
      <c r="BNO68" s="29"/>
      <c r="BNP68" s="29"/>
      <c r="BNQ68" s="136"/>
      <c r="BNR68" s="29"/>
      <c r="BNS68" s="29"/>
      <c r="BNT68" s="29"/>
      <c r="BNU68" s="29"/>
      <c r="BNV68" s="29"/>
      <c r="BNW68" s="73"/>
      <c r="BNX68" s="29"/>
      <c r="BNY68" s="29"/>
      <c r="BNZ68" s="29"/>
      <c r="BOA68" s="29"/>
      <c r="BOB68" s="29"/>
      <c r="BOC68" s="30"/>
      <c r="BOD68" s="90"/>
    </row>
    <row r="69" spans="1:1746" ht="20.100000000000001" customHeight="1" x14ac:dyDescent="0.25">
      <c r="A69" s="100" t="s">
        <v>19</v>
      </c>
      <c r="B69" s="63"/>
      <c r="C69" s="211" t="s">
        <v>75</v>
      </c>
      <c r="D69" s="146" t="str">
        <f t="shared" si="0"/>
        <v>0h50min</v>
      </c>
      <c r="E69" s="31">
        <v>10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188"/>
      <c r="BAI69" s="185"/>
      <c r="BAJ69" s="185"/>
      <c r="BAK69" s="185"/>
      <c r="BAL69" s="183"/>
      <c r="BAM69" s="187"/>
      <c r="BAN69" s="183"/>
      <c r="BAO69" s="183"/>
      <c r="BAP69" s="183"/>
      <c r="BAQ69" s="18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32"/>
      <c r="BJO69" s="64"/>
      <c r="BJP69" s="64"/>
      <c r="BJQ69" s="64"/>
      <c r="BJR69" s="33"/>
      <c r="BJS69" s="132"/>
      <c r="BJT69" s="33"/>
      <c r="BJU69" s="33"/>
      <c r="BJV69" s="33"/>
      <c r="BJW69" s="33"/>
      <c r="BJX69" s="33"/>
      <c r="BJY69" s="137"/>
      <c r="BJZ69" s="33"/>
      <c r="BKA69" s="33"/>
      <c r="BKB69" s="33"/>
      <c r="BKC69" s="33"/>
      <c r="BKD69" s="33"/>
      <c r="BKE69" s="74"/>
      <c r="BKF69" s="33"/>
      <c r="BKG69" s="33"/>
      <c r="BKH69" s="33"/>
      <c r="BKI69" s="33"/>
      <c r="BKJ69" s="33"/>
      <c r="BKK69" s="137"/>
      <c r="BKL69" s="33"/>
      <c r="BKM69" s="33"/>
      <c r="BKN69" s="33"/>
      <c r="BKO69" s="33"/>
      <c r="BKP69" s="33"/>
      <c r="BKQ69" s="74"/>
      <c r="BKR69" s="64"/>
      <c r="BKS69" s="64"/>
      <c r="BKT69" s="64"/>
      <c r="BKU69" s="64"/>
      <c r="BKV69" s="33"/>
      <c r="BKW69" s="137"/>
      <c r="BKX69" s="33"/>
      <c r="BKY69" s="33"/>
      <c r="BKZ69" s="33"/>
      <c r="BLA69" s="33"/>
      <c r="BLB69" s="33"/>
      <c r="BLC69" s="74"/>
      <c r="BLD69" s="33"/>
      <c r="BLE69" s="33"/>
      <c r="BLF69" s="33"/>
      <c r="BLG69" s="33"/>
      <c r="BLH69" s="33"/>
      <c r="BLI69" s="137"/>
      <c r="BLJ69" s="33"/>
      <c r="BLK69" s="33"/>
      <c r="BLL69" s="33"/>
      <c r="BLM69" s="33"/>
      <c r="BLN69" s="33"/>
      <c r="BLO69" s="74"/>
      <c r="BLP69" s="33"/>
      <c r="BLQ69" s="33"/>
      <c r="BLR69" s="33"/>
      <c r="BLS69" s="33"/>
      <c r="BLT69" s="33"/>
      <c r="BLU69" s="34"/>
      <c r="BLV69" s="32"/>
      <c r="BLW69" s="64"/>
      <c r="BLX69" s="64"/>
      <c r="BLY69" s="64"/>
      <c r="BLZ69" s="33"/>
      <c r="BMA69" s="132"/>
      <c r="BMB69" s="33"/>
      <c r="BMC69" s="33"/>
      <c r="BMD69" s="33"/>
      <c r="BME69" s="33"/>
      <c r="BMF69" s="33"/>
      <c r="BMG69" s="137"/>
      <c r="BMH69" s="33"/>
      <c r="BMI69" s="33"/>
      <c r="BMJ69" s="33"/>
      <c r="BMK69" s="33"/>
      <c r="BML69" s="33"/>
      <c r="BMM69" s="74"/>
      <c r="BMN69" s="33"/>
      <c r="BMO69" s="33"/>
      <c r="BMP69" s="33"/>
      <c r="BMQ69" s="33"/>
      <c r="BMR69" s="33"/>
      <c r="BMS69" s="137"/>
      <c r="BMT69" s="33"/>
      <c r="BMU69" s="33"/>
      <c r="BMV69" s="33"/>
      <c r="BMW69" s="33"/>
      <c r="BMX69" s="33"/>
      <c r="BMY69" s="74"/>
      <c r="BMZ69" s="64"/>
      <c r="BNA69" s="64"/>
      <c r="BNB69" s="64"/>
      <c r="BNC69" s="64"/>
      <c r="BND69" s="33"/>
      <c r="BNE69" s="137"/>
      <c r="BNF69" s="33"/>
      <c r="BNG69" s="33"/>
      <c r="BNH69" s="33"/>
      <c r="BNI69" s="33"/>
      <c r="BNJ69" s="33"/>
      <c r="BNK69" s="74"/>
      <c r="BNL69" s="33"/>
      <c r="BNM69" s="33"/>
      <c r="BNN69" s="33"/>
      <c r="BNO69" s="33"/>
      <c r="BNP69" s="33"/>
      <c r="BNQ69" s="137"/>
      <c r="BNR69" s="33"/>
      <c r="BNS69" s="33"/>
      <c r="BNT69" s="33"/>
      <c r="BNU69" s="33"/>
      <c r="BNV69" s="33"/>
      <c r="BNW69" s="74"/>
      <c r="BNX69" s="33"/>
      <c r="BNY69" s="33"/>
      <c r="BNZ69" s="33"/>
      <c r="BOA69" s="33"/>
      <c r="BOB69" s="33"/>
      <c r="BOC69" s="34"/>
      <c r="BOD69" s="90"/>
    </row>
    <row r="70" spans="1:1746" ht="20.100000000000001" customHeight="1" x14ac:dyDescent="0.3">
      <c r="A70" s="100" t="s">
        <v>20</v>
      </c>
      <c r="B70" s="63"/>
      <c r="C70" s="212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36"/>
      <c r="BJO70" s="65"/>
      <c r="BJP70" s="65"/>
      <c r="BJQ70" s="65"/>
      <c r="BJR70" s="37"/>
      <c r="BJS70" s="133"/>
      <c r="BJT70" s="37"/>
      <c r="BJU70" s="37"/>
      <c r="BJV70" s="37"/>
      <c r="BJW70" s="37"/>
      <c r="BJX70" s="37"/>
      <c r="BJY70" s="138"/>
      <c r="BJZ70" s="37"/>
      <c r="BKA70" s="37"/>
      <c r="BKB70" s="37"/>
      <c r="BKC70" s="37"/>
      <c r="BKD70" s="37"/>
      <c r="BKE70" s="75"/>
      <c r="BKF70" s="37"/>
      <c r="BKG70" s="37"/>
      <c r="BKH70" s="37"/>
      <c r="BKI70" s="37"/>
      <c r="BKJ70" s="37"/>
      <c r="BKK70" s="138"/>
      <c r="BKL70" s="37"/>
      <c r="BKM70" s="37"/>
      <c r="BKN70" s="37"/>
      <c r="BKO70" s="37"/>
      <c r="BKP70" s="37"/>
      <c r="BKQ70" s="75"/>
      <c r="BKR70" s="65"/>
      <c r="BKS70" s="65"/>
      <c r="BKT70" s="65"/>
      <c r="BKU70" s="65"/>
      <c r="BKV70" s="37"/>
      <c r="BKW70" s="138"/>
      <c r="BKX70" s="37"/>
      <c r="BKY70" s="37"/>
      <c r="BKZ70" s="37"/>
      <c r="BLA70" s="37"/>
      <c r="BLB70" s="37"/>
      <c r="BLC70" s="75"/>
      <c r="BLD70" s="37"/>
      <c r="BLE70" s="37"/>
      <c r="BLF70" s="37"/>
      <c r="BLG70" s="37"/>
      <c r="BLH70" s="37"/>
      <c r="BLI70" s="138"/>
      <c r="BLJ70" s="37"/>
      <c r="BLK70" s="37"/>
      <c r="BLL70" s="37"/>
      <c r="BLM70" s="37"/>
      <c r="BLN70" s="37"/>
      <c r="BLO70" s="75"/>
      <c r="BLP70" s="37"/>
      <c r="BLQ70" s="37"/>
      <c r="BLR70" s="37"/>
      <c r="BLS70" s="37"/>
      <c r="BLT70" s="37"/>
      <c r="BLU70" s="38"/>
      <c r="BLV70" s="36"/>
      <c r="BLW70" s="65"/>
      <c r="BLX70" s="65"/>
      <c r="BLY70" s="65"/>
      <c r="BLZ70" s="37"/>
      <c r="BMA70" s="133"/>
      <c r="BMB70" s="37"/>
      <c r="BMC70" s="37"/>
      <c r="BMD70" s="37"/>
      <c r="BME70" s="37"/>
      <c r="BMF70" s="37"/>
      <c r="BMG70" s="138"/>
      <c r="BMH70" s="37"/>
      <c r="BMI70" s="37"/>
      <c r="BMJ70" s="37"/>
      <c r="BMK70" s="37"/>
      <c r="BML70" s="37"/>
      <c r="BMM70" s="75"/>
      <c r="BMN70" s="37"/>
      <c r="BMO70" s="37"/>
      <c r="BMP70" s="37"/>
      <c r="BMQ70" s="37"/>
      <c r="BMR70" s="37"/>
      <c r="BMS70" s="138"/>
      <c r="BMT70" s="37"/>
      <c r="BMU70" s="37"/>
      <c r="BMV70" s="37"/>
      <c r="BMW70" s="37"/>
      <c r="BMX70" s="37"/>
      <c r="BMY70" s="75"/>
      <c r="BMZ70" s="65"/>
      <c r="BNA70" s="65"/>
      <c r="BNB70" s="65"/>
      <c r="BNC70" s="65"/>
      <c r="BND70" s="37"/>
      <c r="BNE70" s="138"/>
      <c r="BNF70" s="37"/>
      <c r="BNG70" s="37"/>
      <c r="BNH70" s="37"/>
      <c r="BNI70" s="37"/>
      <c r="BNJ70" s="37"/>
      <c r="BNK70" s="75"/>
      <c r="BNL70" s="37"/>
      <c r="BNM70" s="37"/>
      <c r="BNN70" s="37"/>
      <c r="BNO70" s="37"/>
      <c r="BNP70" s="37"/>
      <c r="BNQ70" s="138"/>
      <c r="BNR70" s="37"/>
      <c r="BNS70" s="37"/>
      <c r="BNT70" s="37"/>
      <c r="BNU70" s="37"/>
      <c r="BNV70" s="37"/>
      <c r="BNW70" s="75"/>
      <c r="BNX70" s="37"/>
      <c r="BNY70" s="37"/>
      <c r="BNZ70" s="37"/>
      <c r="BOA70" s="37"/>
      <c r="BOB70" s="37"/>
      <c r="BOC70" s="38"/>
      <c r="BOD70" s="90"/>
    </row>
    <row r="71" spans="1:1746" ht="20.100000000000001" customHeight="1" x14ac:dyDescent="0.25">
      <c r="A71" s="100" t="s">
        <v>19</v>
      </c>
      <c r="B71" s="63"/>
      <c r="C71" s="211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40"/>
      <c r="BJO71" s="66"/>
      <c r="BJP71" s="66"/>
      <c r="BJQ71" s="66"/>
      <c r="BJR71" s="41"/>
      <c r="BJS71" s="134"/>
      <c r="BJT71" s="41"/>
      <c r="BJU71" s="41"/>
      <c r="BJV71" s="41"/>
      <c r="BJW71" s="41"/>
      <c r="BJX71" s="41"/>
      <c r="BJY71" s="139"/>
      <c r="BJZ71" s="41"/>
      <c r="BKA71" s="41"/>
      <c r="BKB71" s="41"/>
      <c r="BKC71" s="41"/>
      <c r="BKD71" s="41"/>
      <c r="BKE71" s="76"/>
      <c r="BKF71" s="41"/>
      <c r="BKG71" s="41"/>
      <c r="BKH71" s="41"/>
      <c r="BKI71" s="41"/>
      <c r="BKJ71" s="41"/>
      <c r="BKK71" s="139"/>
      <c r="BKL71" s="41"/>
      <c r="BKM71" s="41"/>
      <c r="BKN71" s="41"/>
      <c r="BKO71" s="41"/>
      <c r="BKP71" s="41"/>
      <c r="BKQ71" s="76"/>
      <c r="BKR71" s="66"/>
      <c r="BKS71" s="66"/>
      <c r="BKT71" s="66"/>
      <c r="BKU71" s="66"/>
      <c r="BKV71" s="41"/>
      <c r="BKW71" s="139"/>
      <c r="BKX71" s="41"/>
      <c r="BKY71" s="41"/>
      <c r="BKZ71" s="41"/>
      <c r="BLA71" s="41"/>
      <c r="BLB71" s="41"/>
      <c r="BLC71" s="76"/>
      <c r="BLD71" s="41"/>
      <c r="BLE71" s="41"/>
      <c r="BLF71" s="41"/>
      <c r="BLG71" s="41"/>
      <c r="BLH71" s="41"/>
      <c r="BLI71" s="139"/>
      <c r="BLJ71" s="41"/>
      <c r="BLK71" s="41"/>
      <c r="BLL71" s="41"/>
      <c r="BLM71" s="41"/>
      <c r="BLN71" s="41"/>
      <c r="BLO71" s="76"/>
      <c r="BLP71" s="41"/>
      <c r="BLQ71" s="41"/>
      <c r="BLR71" s="41"/>
      <c r="BLS71" s="41"/>
      <c r="BLT71" s="41"/>
      <c r="BLU71" s="42"/>
      <c r="BLV71" s="40"/>
      <c r="BLW71" s="66"/>
      <c r="BLX71" s="66"/>
      <c r="BLY71" s="66"/>
      <c r="BLZ71" s="41"/>
      <c r="BMA71" s="134"/>
      <c r="BMB71" s="41"/>
      <c r="BMC71" s="41"/>
      <c r="BMD71" s="41"/>
      <c r="BME71" s="41"/>
      <c r="BMF71" s="41"/>
      <c r="BMG71" s="139"/>
      <c r="BMH71" s="41"/>
      <c r="BMI71" s="41"/>
      <c r="BMJ71" s="41"/>
      <c r="BMK71" s="41"/>
      <c r="BML71" s="41"/>
      <c r="BMM71" s="76"/>
      <c r="BMN71" s="41"/>
      <c r="BMO71" s="41"/>
      <c r="BMP71" s="41"/>
      <c r="BMQ71" s="41"/>
      <c r="BMR71" s="41"/>
      <c r="BMS71" s="139"/>
      <c r="BMT71" s="41"/>
      <c r="BMU71" s="41"/>
      <c r="BMV71" s="41"/>
      <c r="BMW71" s="41"/>
      <c r="BMX71" s="41"/>
      <c r="BMY71" s="76"/>
      <c r="BMZ71" s="66"/>
      <c r="BNA71" s="66"/>
      <c r="BNB71" s="66"/>
      <c r="BNC71" s="66"/>
      <c r="BND71" s="41"/>
      <c r="BNE71" s="139"/>
      <c r="BNF71" s="41"/>
      <c r="BNG71" s="41"/>
      <c r="BNH71" s="41"/>
      <c r="BNI71" s="41"/>
      <c r="BNJ71" s="41"/>
      <c r="BNK71" s="76"/>
      <c r="BNL71" s="41"/>
      <c r="BNM71" s="41"/>
      <c r="BNN71" s="41"/>
      <c r="BNO71" s="41"/>
      <c r="BNP71" s="41"/>
      <c r="BNQ71" s="139"/>
      <c r="BNR71" s="41"/>
      <c r="BNS71" s="41"/>
      <c r="BNT71" s="41"/>
      <c r="BNU71" s="41"/>
      <c r="BNV71" s="41"/>
      <c r="BNW71" s="76"/>
      <c r="BNX71" s="41"/>
      <c r="BNY71" s="41"/>
      <c r="BNZ71" s="41"/>
      <c r="BOA71" s="41"/>
      <c r="BOB71" s="41"/>
      <c r="BOC71" s="42"/>
      <c r="BOD71" s="90"/>
    </row>
    <row r="72" spans="1:1746" ht="20.100000000000001" customHeight="1" x14ac:dyDescent="0.25">
      <c r="A72" s="100" t="s">
        <v>20</v>
      </c>
      <c r="B72" s="63"/>
      <c r="C72" s="212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28"/>
      <c r="BJO72" s="67"/>
      <c r="BJP72" s="67"/>
      <c r="BJQ72" s="67"/>
      <c r="BJR72" s="29"/>
      <c r="BJS72" s="131"/>
      <c r="BJT72" s="29"/>
      <c r="BJU72" s="29"/>
      <c r="BJV72" s="29"/>
      <c r="BJW72" s="29"/>
      <c r="BJX72" s="29"/>
      <c r="BJY72" s="136"/>
      <c r="BJZ72" s="29"/>
      <c r="BKA72" s="29"/>
      <c r="BKB72" s="29"/>
      <c r="BKC72" s="29"/>
      <c r="BKD72" s="29"/>
      <c r="BKE72" s="73"/>
      <c r="BKF72" s="29"/>
      <c r="BKG72" s="29"/>
      <c r="BKH72" s="29"/>
      <c r="BKI72" s="29"/>
      <c r="BKJ72" s="29"/>
      <c r="BKK72" s="136"/>
      <c r="BKL72" s="29"/>
      <c r="BKM72" s="29"/>
      <c r="BKN72" s="29"/>
      <c r="BKO72" s="29"/>
      <c r="BKP72" s="29"/>
      <c r="BKQ72" s="73"/>
      <c r="BKR72" s="67"/>
      <c r="BKS72" s="67"/>
      <c r="BKT72" s="67"/>
      <c r="BKU72" s="67"/>
      <c r="BKV72" s="29"/>
      <c r="BKW72" s="136"/>
      <c r="BKX72" s="29"/>
      <c r="BKY72" s="29"/>
      <c r="BKZ72" s="29"/>
      <c r="BLA72" s="29"/>
      <c r="BLB72" s="29"/>
      <c r="BLC72" s="73"/>
      <c r="BLD72" s="29"/>
      <c r="BLE72" s="29"/>
      <c r="BLF72" s="29"/>
      <c r="BLG72" s="29"/>
      <c r="BLH72" s="29"/>
      <c r="BLI72" s="136"/>
      <c r="BLJ72" s="29"/>
      <c r="BLK72" s="29"/>
      <c r="BLL72" s="29"/>
      <c r="BLM72" s="29"/>
      <c r="BLN72" s="29"/>
      <c r="BLO72" s="73"/>
      <c r="BLP72" s="29"/>
      <c r="BLQ72" s="29"/>
      <c r="BLR72" s="29"/>
      <c r="BLS72" s="29"/>
      <c r="BLT72" s="29"/>
      <c r="BLU72" s="30"/>
      <c r="BLV72" s="28"/>
      <c r="BLW72" s="67"/>
      <c r="BLX72" s="67"/>
      <c r="BLY72" s="67"/>
      <c r="BLZ72" s="29"/>
      <c r="BMA72" s="131"/>
      <c r="BMB72" s="29"/>
      <c r="BMC72" s="29"/>
      <c r="BMD72" s="29"/>
      <c r="BME72" s="29"/>
      <c r="BMF72" s="29"/>
      <c r="BMG72" s="136"/>
      <c r="BMH72" s="29"/>
      <c r="BMI72" s="29"/>
      <c r="BMJ72" s="29"/>
      <c r="BMK72" s="29"/>
      <c r="BML72" s="29"/>
      <c r="BMM72" s="73"/>
      <c r="BMN72" s="29"/>
      <c r="BMO72" s="29"/>
      <c r="BMP72" s="29"/>
      <c r="BMQ72" s="29"/>
      <c r="BMR72" s="29"/>
      <c r="BMS72" s="136"/>
      <c r="BMT72" s="29"/>
      <c r="BMU72" s="29"/>
      <c r="BMV72" s="29"/>
      <c r="BMW72" s="29"/>
      <c r="BMX72" s="29"/>
      <c r="BMY72" s="73"/>
      <c r="BMZ72" s="67"/>
      <c r="BNA72" s="67"/>
      <c r="BNB72" s="67"/>
      <c r="BNC72" s="67"/>
      <c r="BND72" s="29"/>
      <c r="BNE72" s="136"/>
      <c r="BNF72" s="29"/>
      <c r="BNG72" s="29"/>
      <c r="BNH72" s="29"/>
      <c r="BNI72" s="29"/>
      <c r="BNJ72" s="29"/>
      <c r="BNK72" s="73"/>
      <c r="BNL72" s="29"/>
      <c r="BNM72" s="29"/>
      <c r="BNN72" s="29"/>
      <c r="BNO72" s="29"/>
      <c r="BNP72" s="29"/>
      <c r="BNQ72" s="136"/>
      <c r="BNR72" s="29"/>
      <c r="BNS72" s="29"/>
      <c r="BNT72" s="29"/>
      <c r="BNU72" s="29"/>
      <c r="BNV72" s="29"/>
      <c r="BNW72" s="73"/>
      <c r="BNX72" s="29"/>
      <c r="BNY72" s="29"/>
      <c r="BNZ72" s="29"/>
      <c r="BOA72" s="29"/>
      <c r="BOB72" s="29"/>
      <c r="BOC72" s="30"/>
      <c r="BOD72" s="90"/>
    </row>
    <row r="73" spans="1:1746" ht="20.100000000000001" customHeight="1" x14ac:dyDescent="0.25">
      <c r="A73" s="100" t="s">
        <v>19</v>
      </c>
      <c r="B73" s="63"/>
      <c r="C73" s="211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32"/>
      <c r="BJO73" s="64"/>
      <c r="BJP73" s="64"/>
      <c r="BJQ73" s="64"/>
      <c r="BJR73" s="33"/>
      <c r="BJS73" s="132"/>
      <c r="BJT73" s="33"/>
      <c r="BJU73" s="33"/>
      <c r="BJV73" s="33"/>
      <c r="BJW73" s="33"/>
      <c r="BJX73" s="33"/>
      <c r="BJY73" s="137"/>
      <c r="BJZ73" s="33"/>
      <c r="BKA73" s="33"/>
      <c r="BKB73" s="33"/>
      <c r="BKC73" s="33"/>
      <c r="BKD73" s="33"/>
      <c r="BKE73" s="74"/>
      <c r="BKF73" s="33"/>
      <c r="BKG73" s="33"/>
      <c r="BKH73" s="33"/>
      <c r="BKI73" s="33"/>
      <c r="BKJ73" s="33"/>
      <c r="BKK73" s="137"/>
      <c r="BKL73" s="33"/>
      <c r="BKM73" s="33"/>
      <c r="BKN73" s="33"/>
      <c r="BKO73" s="33"/>
      <c r="BKP73" s="33"/>
      <c r="BKQ73" s="74"/>
      <c r="BKR73" s="64"/>
      <c r="BKS73" s="64"/>
      <c r="BKT73" s="64"/>
      <c r="BKU73" s="64"/>
      <c r="BKV73" s="33"/>
      <c r="BKW73" s="137"/>
      <c r="BKX73" s="33"/>
      <c r="BKY73" s="33"/>
      <c r="BKZ73" s="33"/>
      <c r="BLA73" s="33"/>
      <c r="BLB73" s="33"/>
      <c r="BLC73" s="74"/>
      <c r="BLD73" s="33"/>
      <c r="BLE73" s="33"/>
      <c r="BLF73" s="33"/>
      <c r="BLG73" s="33"/>
      <c r="BLH73" s="33"/>
      <c r="BLI73" s="137"/>
      <c r="BLJ73" s="33"/>
      <c r="BLK73" s="33"/>
      <c r="BLL73" s="33"/>
      <c r="BLM73" s="33"/>
      <c r="BLN73" s="33"/>
      <c r="BLO73" s="74"/>
      <c r="BLP73" s="33"/>
      <c r="BLQ73" s="33"/>
      <c r="BLR73" s="33"/>
      <c r="BLS73" s="33"/>
      <c r="BLT73" s="33"/>
      <c r="BLU73" s="34"/>
      <c r="BLV73" s="32"/>
      <c r="BLW73" s="64"/>
      <c r="BLX73" s="64"/>
      <c r="BLY73" s="64"/>
      <c r="BLZ73" s="33"/>
      <c r="BMA73" s="132"/>
      <c r="BMB73" s="33"/>
      <c r="BMC73" s="33"/>
      <c r="BMD73" s="33"/>
      <c r="BME73" s="33"/>
      <c r="BMF73" s="33"/>
      <c r="BMG73" s="137"/>
      <c r="BMH73" s="33"/>
      <c r="BMI73" s="33"/>
      <c r="BMJ73" s="33"/>
      <c r="BMK73" s="33"/>
      <c r="BML73" s="33"/>
      <c r="BMM73" s="74"/>
      <c r="BMN73" s="33"/>
      <c r="BMO73" s="33"/>
      <c r="BMP73" s="33"/>
      <c r="BMQ73" s="33"/>
      <c r="BMR73" s="33"/>
      <c r="BMS73" s="137"/>
      <c r="BMT73" s="33"/>
      <c r="BMU73" s="33"/>
      <c r="BMV73" s="33"/>
      <c r="BMW73" s="33"/>
      <c r="BMX73" s="33"/>
      <c r="BMY73" s="74"/>
      <c r="BMZ73" s="64"/>
      <c r="BNA73" s="64"/>
      <c r="BNB73" s="64"/>
      <c r="BNC73" s="64"/>
      <c r="BND73" s="33"/>
      <c r="BNE73" s="137"/>
      <c r="BNF73" s="33"/>
      <c r="BNG73" s="33"/>
      <c r="BNH73" s="33"/>
      <c r="BNI73" s="33"/>
      <c r="BNJ73" s="33"/>
      <c r="BNK73" s="74"/>
      <c r="BNL73" s="33"/>
      <c r="BNM73" s="33"/>
      <c r="BNN73" s="33"/>
      <c r="BNO73" s="33"/>
      <c r="BNP73" s="33"/>
      <c r="BNQ73" s="137"/>
      <c r="BNR73" s="33"/>
      <c r="BNS73" s="33"/>
      <c r="BNT73" s="33"/>
      <c r="BNU73" s="33"/>
      <c r="BNV73" s="33"/>
      <c r="BNW73" s="74"/>
      <c r="BNX73" s="33"/>
      <c r="BNY73" s="33"/>
      <c r="BNZ73" s="33"/>
      <c r="BOA73" s="33"/>
      <c r="BOB73" s="33"/>
      <c r="BOC73" s="34"/>
      <c r="BOD73" s="90"/>
    </row>
    <row r="74" spans="1:1746" ht="20.100000000000001" customHeight="1" x14ac:dyDescent="0.3">
      <c r="A74" s="100" t="s">
        <v>20</v>
      </c>
      <c r="B74" s="63"/>
      <c r="C74" s="213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36"/>
      <c r="BJO74" s="65"/>
      <c r="BJP74" s="65"/>
      <c r="BJQ74" s="65"/>
      <c r="BJR74" s="37"/>
      <c r="BJS74" s="133"/>
      <c r="BJT74" s="37"/>
      <c r="BJU74" s="37"/>
      <c r="BJV74" s="37"/>
      <c r="BJW74" s="37"/>
      <c r="BJX74" s="37"/>
      <c r="BJY74" s="138"/>
      <c r="BJZ74" s="37"/>
      <c r="BKA74" s="37"/>
      <c r="BKB74" s="37"/>
      <c r="BKC74" s="37"/>
      <c r="BKD74" s="37"/>
      <c r="BKE74" s="75"/>
      <c r="BKF74" s="37"/>
      <c r="BKG74" s="37"/>
      <c r="BKH74" s="37"/>
      <c r="BKI74" s="37"/>
      <c r="BKJ74" s="37"/>
      <c r="BKK74" s="138"/>
      <c r="BKL74" s="37"/>
      <c r="BKM74" s="37"/>
      <c r="BKN74" s="37"/>
      <c r="BKO74" s="37"/>
      <c r="BKP74" s="37"/>
      <c r="BKQ74" s="75"/>
      <c r="BKR74" s="65"/>
      <c r="BKS74" s="65"/>
      <c r="BKT74" s="65"/>
      <c r="BKU74" s="65"/>
      <c r="BKV74" s="37"/>
      <c r="BKW74" s="138"/>
      <c r="BKX74" s="37"/>
      <c r="BKY74" s="37"/>
      <c r="BKZ74" s="37"/>
      <c r="BLA74" s="37"/>
      <c r="BLB74" s="37"/>
      <c r="BLC74" s="75"/>
      <c r="BLD74" s="37"/>
      <c r="BLE74" s="37"/>
      <c r="BLF74" s="37"/>
      <c r="BLG74" s="37"/>
      <c r="BLH74" s="37"/>
      <c r="BLI74" s="138"/>
      <c r="BLJ74" s="37"/>
      <c r="BLK74" s="37"/>
      <c r="BLL74" s="37"/>
      <c r="BLM74" s="37"/>
      <c r="BLN74" s="37"/>
      <c r="BLO74" s="75"/>
      <c r="BLP74" s="37"/>
      <c r="BLQ74" s="37"/>
      <c r="BLR74" s="37"/>
      <c r="BLS74" s="37"/>
      <c r="BLT74" s="37"/>
      <c r="BLU74" s="38"/>
      <c r="BLV74" s="36"/>
      <c r="BLW74" s="65"/>
      <c r="BLX74" s="65"/>
      <c r="BLY74" s="65"/>
      <c r="BLZ74" s="37"/>
      <c r="BMA74" s="133"/>
      <c r="BMB74" s="37"/>
      <c r="BMC74" s="37"/>
      <c r="BMD74" s="37"/>
      <c r="BME74" s="37"/>
      <c r="BMF74" s="37"/>
      <c r="BMG74" s="138"/>
      <c r="BMH74" s="37"/>
      <c r="BMI74" s="37"/>
      <c r="BMJ74" s="37"/>
      <c r="BMK74" s="37"/>
      <c r="BML74" s="37"/>
      <c r="BMM74" s="75"/>
      <c r="BMN74" s="37"/>
      <c r="BMO74" s="37"/>
      <c r="BMP74" s="37"/>
      <c r="BMQ74" s="37"/>
      <c r="BMR74" s="37"/>
      <c r="BMS74" s="138"/>
      <c r="BMT74" s="37"/>
      <c r="BMU74" s="37"/>
      <c r="BMV74" s="37"/>
      <c r="BMW74" s="37"/>
      <c r="BMX74" s="37"/>
      <c r="BMY74" s="75"/>
      <c r="BMZ74" s="65"/>
      <c r="BNA74" s="65"/>
      <c r="BNB74" s="65"/>
      <c r="BNC74" s="65"/>
      <c r="BND74" s="37"/>
      <c r="BNE74" s="138"/>
      <c r="BNF74" s="37"/>
      <c r="BNG74" s="37"/>
      <c r="BNH74" s="37"/>
      <c r="BNI74" s="37"/>
      <c r="BNJ74" s="37"/>
      <c r="BNK74" s="75"/>
      <c r="BNL74" s="37"/>
      <c r="BNM74" s="37"/>
      <c r="BNN74" s="37"/>
      <c r="BNO74" s="37"/>
      <c r="BNP74" s="37"/>
      <c r="BNQ74" s="138"/>
      <c r="BNR74" s="37"/>
      <c r="BNS74" s="37"/>
      <c r="BNT74" s="37"/>
      <c r="BNU74" s="37"/>
      <c r="BNV74" s="37"/>
      <c r="BNW74" s="75"/>
      <c r="BNX74" s="37"/>
      <c r="BNY74" s="37"/>
      <c r="BNZ74" s="37"/>
      <c r="BOA74" s="37"/>
      <c r="BOB74" s="37"/>
      <c r="BOC74" s="38"/>
      <c r="BOD74" s="90"/>
    </row>
    <row r="75" spans="1:1746" ht="20.100000000000001" customHeight="1" x14ac:dyDescent="0.25">
      <c r="A75" s="100" t="s">
        <v>19</v>
      </c>
      <c r="B75" s="63"/>
      <c r="C75" s="211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32"/>
      <c r="BJO75" s="64"/>
      <c r="BJP75" s="64"/>
      <c r="BJQ75" s="64"/>
      <c r="BJR75" s="33"/>
      <c r="BJS75" s="132"/>
      <c r="BJT75" s="33"/>
      <c r="BJU75" s="33"/>
      <c r="BJV75" s="33"/>
      <c r="BJW75" s="33"/>
      <c r="BJX75" s="33"/>
      <c r="BJY75" s="137"/>
      <c r="BJZ75" s="33"/>
      <c r="BKA75" s="33"/>
      <c r="BKB75" s="33"/>
      <c r="BKC75" s="33"/>
      <c r="BKD75" s="33"/>
      <c r="BKE75" s="74"/>
      <c r="BKF75" s="33"/>
      <c r="BKG75" s="33"/>
      <c r="BKH75" s="33"/>
      <c r="BKI75" s="33"/>
      <c r="BKJ75" s="33"/>
      <c r="BKK75" s="137"/>
      <c r="BKL75" s="33"/>
      <c r="BKM75" s="33"/>
      <c r="BKN75" s="33"/>
      <c r="BKO75" s="33"/>
      <c r="BKP75" s="33"/>
      <c r="BKQ75" s="74"/>
      <c r="BKR75" s="64"/>
      <c r="BKS75" s="64"/>
      <c r="BKT75" s="64"/>
      <c r="BKU75" s="64"/>
      <c r="BKV75" s="33"/>
      <c r="BKW75" s="137"/>
      <c r="BKX75" s="33"/>
      <c r="BKY75" s="33"/>
      <c r="BKZ75" s="33"/>
      <c r="BLA75" s="33"/>
      <c r="BLB75" s="33"/>
      <c r="BLC75" s="74"/>
      <c r="BLD75" s="33"/>
      <c r="BLE75" s="33"/>
      <c r="BLF75" s="33"/>
      <c r="BLG75" s="33"/>
      <c r="BLH75" s="33"/>
      <c r="BLI75" s="137"/>
      <c r="BLJ75" s="33"/>
      <c r="BLK75" s="33"/>
      <c r="BLL75" s="33"/>
      <c r="BLM75" s="33"/>
      <c r="BLN75" s="33"/>
      <c r="BLO75" s="74"/>
      <c r="BLP75" s="33"/>
      <c r="BLQ75" s="33"/>
      <c r="BLR75" s="33"/>
      <c r="BLS75" s="33"/>
      <c r="BLT75" s="33"/>
      <c r="BLU75" s="34"/>
      <c r="BLV75" s="32"/>
      <c r="BLW75" s="64"/>
      <c r="BLX75" s="64"/>
      <c r="BLY75" s="64"/>
      <c r="BLZ75" s="33"/>
      <c r="BMA75" s="132"/>
      <c r="BMB75" s="33"/>
      <c r="BMC75" s="33"/>
      <c r="BMD75" s="33"/>
      <c r="BME75" s="33"/>
      <c r="BMF75" s="33"/>
      <c r="BMG75" s="137"/>
      <c r="BMH75" s="33"/>
      <c r="BMI75" s="33"/>
      <c r="BMJ75" s="33"/>
      <c r="BMK75" s="33"/>
      <c r="BML75" s="33"/>
      <c r="BMM75" s="74"/>
      <c r="BMN75" s="33"/>
      <c r="BMO75" s="33"/>
      <c r="BMP75" s="33"/>
      <c r="BMQ75" s="33"/>
      <c r="BMR75" s="33"/>
      <c r="BMS75" s="137"/>
      <c r="BMT75" s="33"/>
      <c r="BMU75" s="33"/>
      <c r="BMV75" s="33"/>
      <c r="BMW75" s="33"/>
      <c r="BMX75" s="33"/>
      <c r="BMY75" s="74"/>
      <c r="BMZ75" s="64"/>
      <c r="BNA75" s="64"/>
      <c r="BNB75" s="64"/>
      <c r="BNC75" s="64"/>
      <c r="BND75" s="33"/>
      <c r="BNE75" s="137"/>
      <c r="BNF75" s="33"/>
      <c r="BNG75" s="33"/>
      <c r="BNH75" s="33"/>
      <c r="BNI75" s="33"/>
      <c r="BNJ75" s="33"/>
      <c r="BNK75" s="74"/>
      <c r="BNL75" s="33"/>
      <c r="BNM75" s="33"/>
      <c r="BNN75" s="33"/>
      <c r="BNO75" s="33"/>
      <c r="BNP75" s="33"/>
      <c r="BNQ75" s="137"/>
      <c r="BNR75" s="33"/>
      <c r="BNS75" s="33"/>
      <c r="BNT75" s="33"/>
      <c r="BNU75" s="33"/>
      <c r="BNV75" s="33"/>
      <c r="BNW75" s="74"/>
      <c r="BNX75" s="33"/>
      <c r="BNY75" s="33"/>
      <c r="BNZ75" s="33"/>
      <c r="BOA75" s="33"/>
      <c r="BOB75" s="33"/>
      <c r="BOC75" s="34"/>
      <c r="BOD75" s="90"/>
    </row>
    <row r="76" spans="1:1746" ht="20.100000000000001" customHeight="1" x14ac:dyDescent="0.3">
      <c r="A76" s="100" t="s">
        <v>20</v>
      </c>
      <c r="B76" s="63"/>
      <c r="C76" s="213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36"/>
      <c r="BJO76" s="65"/>
      <c r="BJP76" s="65"/>
      <c r="BJQ76" s="65"/>
      <c r="BJR76" s="37"/>
      <c r="BJS76" s="133"/>
      <c r="BJT76" s="37"/>
      <c r="BJU76" s="37"/>
      <c r="BJV76" s="37"/>
      <c r="BJW76" s="37"/>
      <c r="BJX76" s="37"/>
      <c r="BJY76" s="138"/>
      <c r="BJZ76" s="37"/>
      <c r="BKA76" s="37"/>
      <c r="BKB76" s="37"/>
      <c r="BKC76" s="37"/>
      <c r="BKD76" s="37"/>
      <c r="BKE76" s="75"/>
      <c r="BKF76" s="37"/>
      <c r="BKG76" s="37"/>
      <c r="BKH76" s="37"/>
      <c r="BKI76" s="37"/>
      <c r="BKJ76" s="37"/>
      <c r="BKK76" s="138"/>
      <c r="BKL76" s="37"/>
      <c r="BKM76" s="37"/>
      <c r="BKN76" s="37"/>
      <c r="BKO76" s="37"/>
      <c r="BKP76" s="37"/>
      <c r="BKQ76" s="75"/>
      <c r="BKR76" s="65"/>
      <c r="BKS76" s="65"/>
      <c r="BKT76" s="65"/>
      <c r="BKU76" s="65"/>
      <c r="BKV76" s="37"/>
      <c r="BKW76" s="138"/>
      <c r="BKX76" s="37"/>
      <c r="BKY76" s="37"/>
      <c r="BKZ76" s="37"/>
      <c r="BLA76" s="37"/>
      <c r="BLB76" s="37"/>
      <c r="BLC76" s="75"/>
      <c r="BLD76" s="37"/>
      <c r="BLE76" s="37"/>
      <c r="BLF76" s="37"/>
      <c r="BLG76" s="37"/>
      <c r="BLH76" s="37"/>
      <c r="BLI76" s="138"/>
      <c r="BLJ76" s="37"/>
      <c r="BLK76" s="37"/>
      <c r="BLL76" s="37"/>
      <c r="BLM76" s="37"/>
      <c r="BLN76" s="37"/>
      <c r="BLO76" s="75"/>
      <c r="BLP76" s="37"/>
      <c r="BLQ76" s="37"/>
      <c r="BLR76" s="37"/>
      <c r="BLS76" s="37"/>
      <c r="BLT76" s="37"/>
      <c r="BLU76" s="38"/>
      <c r="BLV76" s="36"/>
      <c r="BLW76" s="65"/>
      <c r="BLX76" s="65"/>
      <c r="BLY76" s="65"/>
      <c r="BLZ76" s="37"/>
      <c r="BMA76" s="133"/>
      <c r="BMB76" s="37"/>
      <c r="BMC76" s="37"/>
      <c r="BMD76" s="37"/>
      <c r="BME76" s="37"/>
      <c r="BMF76" s="37"/>
      <c r="BMG76" s="138"/>
      <c r="BMH76" s="37"/>
      <c r="BMI76" s="37"/>
      <c r="BMJ76" s="37"/>
      <c r="BMK76" s="37"/>
      <c r="BML76" s="37"/>
      <c r="BMM76" s="75"/>
      <c r="BMN76" s="37"/>
      <c r="BMO76" s="37"/>
      <c r="BMP76" s="37"/>
      <c r="BMQ76" s="37"/>
      <c r="BMR76" s="37"/>
      <c r="BMS76" s="138"/>
      <c r="BMT76" s="37"/>
      <c r="BMU76" s="37"/>
      <c r="BMV76" s="37"/>
      <c r="BMW76" s="37"/>
      <c r="BMX76" s="37"/>
      <c r="BMY76" s="75"/>
      <c r="BMZ76" s="65"/>
      <c r="BNA76" s="65"/>
      <c r="BNB76" s="65"/>
      <c r="BNC76" s="65"/>
      <c r="BND76" s="37"/>
      <c r="BNE76" s="138"/>
      <c r="BNF76" s="37"/>
      <c r="BNG76" s="37"/>
      <c r="BNH76" s="37"/>
      <c r="BNI76" s="37"/>
      <c r="BNJ76" s="37"/>
      <c r="BNK76" s="75"/>
      <c r="BNL76" s="37"/>
      <c r="BNM76" s="37"/>
      <c r="BNN76" s="37"/>
      <c r="BNO76" s="37"/>
      <c r="BNP76" s="37"/>
      <c r="BNQ76" s="138"/>
      <c r="BNR76" s="37"/>
      <c r="BNS76" s="37"/>
      <c r="BNT76" s="37"/>
      <c r="BNU76" s="37"/>
      <c r="BNV76" s="37"/>
      <c r="BNW76" s="75"/>
      <c r="BNX76" s="37"/>
      <c r="BNY76" s="37"/>
      <c r="BNZ76" s="37"/>
      <c r="BOA76" s="37"/>
      <c r="BOB76" s="37"/>
      <c r="BOC76" s="38"/>
      <c r="BOD76" s="90"/>
    </row>
    <row r="77" spans="1:1746" ht="20.100000000000001" customHeight="1" x14ac:dyDescent="0.25">
      <c r="A77" s="100" t="s">
        <v>19</v>
      </c>
      <c r="B77" s="63"/>
      <c r="C77" s="211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40"/>
      <c r="BJO77" s="66"/>
      <c r="BJP77" s="66"/>
      <c r="BJQ77" s="66"/>
      <c r="BJR77" s="41"/>
      <c r="BJS77" s="134"/>
      <c r="BJT77" s="41"/>
      <c r="BJU77" s="41"/>
      <c r="BJV77" s="41"/>
      <c r="BJW77" s="41"/>
      <c r="BJX77" s="41"/>
      <c r="BJY77" s="139"/>
      <c r="BJZ77" s="41"/>
      <c r="BKA77" s="41"/>
      <c r="BKB77" s="41"/>
      <c r="BKC77" s="41"/>
      <c r="BKD77" s="41"/>
      <c r="BKE77" s="76"/>
      <c r="BKF77" s="41"/>
      <c r="BKG77" s="41"/>
      <c r="BKH77" s="41"/>
      <c r="BKI77" s="41"/>
      <c r="BKJ77" s="41"/>
      <c r="BKK77" s="139"/>
      <c r="BKL77" s="41"/>
      <c r="BKM77" s="41"/>
      <c r="BKN77" s="41"/>
      <c r="BKO77" s="41"/>
      <c r="BKP77" s="41"/>
      <c r="BKQ77" s="76"/>
      <c r="BKR77" s="66"/>
      <c r="BKS77" s="66"/>
      <c r="BKT77" s="66"/>
      <c r="BKU77" s="66"/>
      <c r="BKV77" s="41"/>
      <c r="BKW77" s="139"/>
      <c r="BKX77" s="41"/>
      <c r="BKY77" s="41"/>
      <c r="BKZ77" s="41"/>
      <c r="BLA77" s="41"/>
      <c r="BLB77" s="41"/>
      <c r="BLC77" s="76"/>
      <c r="BLD77" s="41"/>
      <c r="BLE77" s="41"/>
      <c r="BLF77" s="41"/>
      <c r="BLG77" s="41"/>
      <c r="BLH77" s="41"/>
      <c r="BLI77" s="139"/>
      <c r="BLJ77" s="41"/>
      <c r="BLK77" s="41"/>
      <c r="BLL77" s="41"/>
      <c r="BLM77" s="41"/>
      <c r="BLN77" s="41"/>
      <c r="BLO77" s="76"/>
      <c r="BLP77" s="41"/>
      <c r="BLQ77" s="41"/>
      <c r="BLR77" s="41"/>
      <c r="BLS77" s="41"/>
      <c r="BLT77" s="41"/>
      <c r="BLU77" s="42"/>
      <c r="BLV77" s="40"/>
      <c r="BLW77" s="66"/>
      <c r="BLX77" s="66"/>
      <c r="BLY77" s="66"/>
      <c r="BLZ77" s="41"/>
      <c r="BMA77" s="134"/>
      <c r="BMB77" s="41"/>
      <c r="BMC77" s="41"/>
      <c r="BMD77" s="41"/>
      <c r="BME77" s="41"/>
      <c r="BMF77" s="41"/>
      <c r="BMG77" s="139"/>
      <c r="BMH77" s="41"/>
      <c r="BMI77" s="41"/>
      <c r="BMJ77" s="41"/>
      <c r="BMK77" s="41"/>
      <c r="BML77" s="41"/>
      <c r="BMM77" s="76"/>
      <c r="BMN77" s="41"/>
      <c r="BMO77" s="41"/>
      <c r="BMP77" s="41"/>
      <c r="BMQ77" s="41"/>
      <c r="BMR77" s="41"/>
      <c r="BMS77" s="139"/>
      <c r="BMT77" s="41"/>
      <c r="BMU77" s="41"/>
      <c r="BMV77" s="41"/>
      <c r="BMW77" s="41"/>
      <c r="BMX77" s="41"/>
      <c r="BMY77" s="76"/>
      <c r="BMZ77" s="66"/>
      <c r="BNA77" s="66"/>
      <c r="BNB77" s="66"/>
      <c r="BNC77" s="66"/>
      <c r="BND77" s="41"/>
      <c r="BNE77" s="139"/>
      <c r="BNF77" s="41"/>
      <c r="BNG77" s="41"/>
      <c r="BNH77" s="41"/>
      <c r="BNI77" s="41"/>
      <c r="BNJ77" s="41"/>
      <c r="BNK77" s="76"/>
      <c r="BNL77" s="41"/>
      <c r="BNM77" s="41"/>
      <c r="BNN77" s="41"/>
      <c r="BNO77" s="41"/>
      <c r="BNP77" s="41"/>
      <c r="BNQ77" s="139"/>
      <c r="BNR77" s="41"/>
      <c r="BNS77" s="41"/>
      <c r="BNT77" s="41"/>
      <c r="BNU77" s="41"/>
      <c r="BNV77" s="41"/>
      <c r="BNW77" s="76"/>
      <c r="BNX77" s="41"/>
      <c r="BNY77" s="41"/>
      <c r="BNZ77" s="41"/>
      <c r="BOA77" s="41"/>
      <c r="BOB77" s="41"/>
      <c r="BOC77" s="42"/>
      <c r="BOD77" s="90"/>
    </row>
    <row r="78" spans="1:1746" ht="20.100000000000001" customHeight="1" x14ac:dyDescent="0.25">
      <c r="A78" s="100" t="s">
        <v>20</v>
      </c>
      <c r="B78" s="63"/>
      <c r="C78" s="212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28"/>
      <c r="BJO78" s="67"/>
      <c r="BJP78" s="67"/>
      <c r="BJQ78" s="67"/>
      <c r="BJR78" s="29"/>
      <c r="BJS78" s="133"/>
      <c r="BJT78" s="29"/>
      <c r="BJU78" s="29"/>
      <c r="BJV78" s="29"/>
      <c r="BJW78" s="29"/>
      <c r="BJX78" s="29"/>
      <c r="BJY78" s="138"/>
      <c r="BJZ78" s="29"/>
      <c r="BKA78" s="29"/>
      <c r="BKB78" s="29"/>
      <c r="BKC78" s="29"/>
      <c r="BKD78" s="29"/>
      <c r="BKE78" s="75"/>
      <c r="BKF78" s="29"/>
      <c r="BKG78" s="29"/>
      <c r="BKH78" s="29"/>
      <c r="BKI78" s="29"/>
      <c r="BKJ78" s="29"/>
      <c r="BKK78" s="138"/>
      <c r="BKL78" s="29"/>
      <c r="BKM78" s="29"/>
      <c r="BKN78" s="29"/>
      <c r="BKO78" s="29"/>
      <c r="BKP78" s="29"/>
      <c r="BKQ78" s="75"/>
      <c r="BKR78" s="67"/>
      <c r="BKS78" s="67"/>
      <c r="BKT78" s="67"/>
      <c r="BKU78" s="67"/>
      <c r="BKV78" s="29"/>
      <c r="BKW78" s="138"/>
      <c r="BKX78" s="29"/>
      <c r="BKY78" s="29"/>
      <c r="BKZ78" s="29"/>
      <c r="BLA78" s="29"/>
      <c r="BLB78" s="29"/>
      <c r="BLC78" s="75"/>
      <c r="BLD78" s="29"/>
      <c r="BLE78" s="29"/>
      <c r="BLF78" s="29"/>
      <c r="BLG78" s="29"/>
      <c r="BLH78" s="29"/>
      <c r="BLI78" s="138"/>
      <c r="BLJ78" s="29"/>
      <c r="BLK78" s="29"/>
      <c r="BLL78" s="29"/>
      <c r="BLM78" s="29"/>
      <c r="BLN78" s="29"/>
      <c r="BLO78" s="75"/>
      <c r="BLP78" s="29"/>
      <c r="BLQ78" s="29"/>
      <c r="BLR78" s="29"/>
      <c r="BLS78" s="29"/>
      <c r="BLT78" s="29"/>
      <c r="BLU78" s="30"/>
      <c r="BLV78" s="28"/>
      <c r="BLW78" s="67"/>
      <c r="BLX78" s="67"/>
      <c r="BLY78" s="67"/>
      <c r="BLZ78" s="29"/>
      <c r="BMA78" s="133"/>
      <c r="BMB78" s="29"/>
      <c r="BMC78" s="29"/>
      <c r="BMD78" s="29"/>
      <c r="BME78" s="29"/>
      <c r="BMF78" s="29"/>
      <c r="BMG78" s="138"/>
      <c r="BMH78" s="29"/>
      <c r="BMI78" s="29"/>
      <c r="BMJ78" s="29"/>
      <c r="BMK78" s="29"/>
      <c r="BML78" s="29"/>
      <c r="BMM78" s="75"/>
      <c r="BMN78" s="29"/>
      <c r="BMO78" s="29"/>
      <c r="BMP78" s="29"/>
      <c r="BMQ78" s="29"/>
      <c r="BMR78" s="29"/>
      <c r="BMS78" s="138"/>
      <c r="BMT78" s="29"/>
      <c r="BMU78" s="29"/>
      <c r="BMV78" s="29"/>
      <c r="BMW78" s="29"/>
      <c r="BMX78" s="29"/>
      <c r="BMY78" s="75"/>
      <c r="BMZ78" s="67"/>
      <c r="BNA78" s="67"/>
      <c r="BNB78" s="67"/>
      <c r="BNC78" s="67"/>
      <c r="BND78" s="29"/>
      <c r="BNE78" s="138"/>
      <c r="BNF78" s="29"/>
      <c r="BNG78" s="29"/>
      <c r="BNH78" s="29"/>
      <c r="BNI78" s="29"/>
      <c r="BNJ78" s="29"/>
      <c r="BNK78" s="75"/>
      <c r="BNL78" s="29"/>
      <c r="BNM78" s="29"/>
      <c r="BNN78" s="29"/>
      <c r="BNO78" s="29"/>
      <c r="BNP78" s="29"/>
      <c r="BNQ78" s="138"/>
      <c r="BNR78" s="29"/>
      <c r="BNS78" s="29"/>
      <c r="BNT78" s="29"/>
      <c r="BNU78" s="29"/>
      <c r="BNV78" s="29"/>
      <c r="BNW78" s="75"/>
      <c r="BNX78" s="29"/>
      <c r="BNY78" s="29"/>
      <c r="BNZ78" s="29"/>
      <c r="BOA78" s="29"/>
      <c r="BOB78" s="29"/>
      <c r="BOC78" s="30"/>
      <c r="BOD78" s="90"/>
    </row>
    <row r="79" spans="1:1746" ht="20.100000000000001" customHeight="1" x14ac:dyDescent="0.25">
      <c r="A79" s="100" t="s">
        <v>19</v>
      </c>
      <c r="B79" s="63"/>
      <c r="C79" s="211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32"/>
      <c r="BJO79" s="64"/>
      <c r="BJP79" s="64"/>
      <c r="BJQ79" s="64"/>
      <c r="BJR79" s="33"/>
      <c r="BJS79" s="132"/>
      <c r="BJT79" s="33"/>
      <c r="BJU79" s="33"/>
      <c r="BJV79" s="33"/>
      <c r="BJW79" s="33"/>
      <c r="BJX79" s="33"/>
      <c r="BJY79" s="137"/>
      <c r="BJZ79" s="33"/>
      <c r="BKA79" s="33"/>
      <c r="BKB79" s="33"/>
      <c r="BKC79" s="33"/>
      <c r="BKD79" s="33"/>
      <c r="BKE79" s="74"/>
      <c r="BKF79" s="33"/>
      <c r="BKG79" s="33"/>
      <c r="BKH79" s="33"/>
      <c r="BKI79" s="33"/>
      <c r="BKJ79" s="33"/>
      <c r="BKK79" s="137"/>
      <c r="BKL79" s="33"/>
      <c r="BKM79" s="33"/>
      <c r="BKN79" s="33"/>
      <c r="BKO79" s="33"/>
      <c r="BKP79" s="33"/>
      <c r="BKQ79" s="74"/>
      <c r="BKR79" s="64"/>
      <c r="BKS79" s="64"/>
      <c r="BKT79" s="64"/>
      <c r="BKU79" s="64"/>
      <c r="BKV79" s="33"/>
      <c r="BKW79" s="137"/>
      <c r="BKX79" s="33"/>
      <c r="BKY79" s="33"/>
      <c r="BKZ79" s="33"/>
      <c r="BLA79" s="33"/>
      <c r="BLB79" s="33"/>
      <c r="BLC79" s="74"/>
      <c r="BLD79" s="33"/>
      <c r="BLE79" s="33"/>
      <c r="BLF79" s="33"/>
      <c r="BLG79" s="33"/>
      <c r="BLH79" s="33"/>
      <c r="BLI79" s="137"/>
      <c r="BLJ79" s="33"/>
      <c r="BLK79" s="33"/>
      <c r="BLL79" s="33"/>
      <c r="BLM79" s="33"/>
      <c r="BLN79" s="33"/>
      <c r="BLO79" s="74"/>
      <c r="BLP79" s="33"/>
      <c r="BLQ79" s="33"/>
      <c r="BLR79" s="33"/>
      <c r="BLS79" s="33"/>
      <c r="BLT79" s="33"/>
      <c r="BLU79" s="34"/>
      <c r="BLV79" s="32"/>
      <c r="BLW79" s="64"/>
      <c r="BLX79" s="64"/>
      <c r="BLY79" s="64"/>
      <c r="BLZ79" s="33"/>
      <c r="BMA79" s="132"/>
      <c r="BMB79" s="33"/>
      <c r="BMC79" s="33"/>
      <c r="BMD79" s="33"/>
      <c r="BME79" s="33"/>
      <c r="BMF79" s="33"/>
      <c r="BMG79" s="137"/>
      <c r="BMH79" s="33"/>
      <c r="BMI79" s="33"/>
      <c r="BMJ79" s="33"/>
      <c r="BMK79" s="33"/>
      <c r="BML79" s="33"/>
      <c r="BMM79" s="74"/>
      <c r="BMN79" s="33"/>
      <c r="BMO79" s="33"/>
      <c r="BMP79" s="33"/>
      <c r="BMQ79" s="33"/>
      <c r="BMR79" s="33"/>
      <c r="BMS79" s="137"/>
      <c r="BMT79" s="33"/>
      <c r="BMU79" s="33"/>
      <c r="BMV79" s="33"/>
      <c r="BMW79" s="33"/>
      <c r="BMX79" s="33"/>
      <c r="BMY79" s="74"/>
      <c r="BMZ79" s="64"/>
      <c r="BNA79" s="64"/>
      <c r="BNB79" s="64"/>
      <c r="BNC79" s="64"/>
      <c r="BND79" s="33"/>
      <c r="BNE79" s="137"/>
      <c r="BNF79" s="33"/>
      <c r="BNG79" s="33"/>
      <c r="BNH79" s="33"/>
      <c r="BNI79" s="33"/>
      <c r="BNJ79" s="33"/>
      <c r="BNK79" s="74"/>
      <c r="BNL79" s="33"/>
      <c r="BNM79" s="33"/>
      <c r="BNN79" s="33"/>
      <c r="BNO79" s="33"/>
      <c r="BNP79" s="33"/>
      <c r="BNQ79" s="137"/>
      <c r="BNR79" s="33"/>
      <c r="BNS79" s="33"/>
      <c r="BNT79" s="33"/>
      <c r="BNU79" s="33"/>
      <c r="BNV79" s="33"/>
      <c r="BNW79" s="74"/>
      <c r="BNX79" s="33"/>
      <c r="BNY79" s="33"/>
      <c r="BNZ79" s="33"/>
      <c r="BOA79" s="33"/>
      <c r="BOB79" s="33"/>
      <c r="BOC79" s="34"/>
      <c r="BOD79" s="90"/>
    </row>
    <row r="80" spans="1:1746" ht="20.100000000000001" customHeight="1" x14ac:dyDescent="0.3">
      <c r="A80" s="100" t="s">
        <v>20</v>
      </c>
      <c r="B80" s="63"/>
      <c r="C80" s="213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36"/>
      <c r="BJO80" s="65"/>
      <c r="BJP80" s="65"/>
      <c r="BJQ80" s="65"/>
      <c r="BJR80" s="37"/>
      <c r="BJS80" s="133"/>
      <c r="BJT80" s="37"/>
      <c r="BJU80" s="37"/>
      <c r="BJV80" s="37"/>
      <c r="BJW80" s="37"/>
      <c r="BJX80" s="37"/>
      <c r="BJY80" s="138"/>
      <c r="BJZ80" s="37"/>
      <c r="BKA80" s="37"/>
      <c r="BKB80" s="37"/>
      <c r="BKC80" s="37"/>
      <c r="BKD80" s="37"/>
      <c r="BKE80" s="75"/>
      <c r="BKF80" s="37"/>
      <c r="BKG80" s="37"/>
      <c r="BKH80" s="37"/>
      <c r="BKI80" s="37"/>
      <c r="BKJ80" s="37"/>
      <c r="BKK80" s="138"/>
      <c r="BKL80" s="37"/>
      <c r="BKM80" s="37"/>
      <c r="BKN80" s="37"/>
      <c r="BKO80" s="37"/>
      <c r="BKP80" s="37"/>
      <c r="BKQ80" s="75"/>
      <c r="BKR80" s="65"/>
      <c r="BKS80" s="65"/>
      <c r="BKT80" s="65"/>
      <c r="BKU80" s="65"/>
      <c r="BKV80" s="37"/>
      <c r="BKW80" s="138"/>
      <c r="BKX80" s="37"/>
      <c r="BKY80" s="37"/>
      <c r="BKZ80" s="37"/>
      <c r="BLA80" s="37"/>
      <c r="BLB80" s="37"/>
      <c r="BLC80" s="75"/>
      <c r="BLD80" s="37"/>
      <c r="BLE80" s="37"/>
      <c r="BLF80" s="37"/>
      <c r="BLG80" s="37"/>
      <c r="BLH80" s="37"/>
      <c r="BLI80" s="138"/>
      <c r="BLJ80" s="37"/>
      <c r="BLK80" s="37"/>
      <c r="BLL80" s="37"/>
      <c r="BLM80" s="37"/>
      <c r="BLN80" s="37"/>
      <c r="BLO80" s="75"/>
      <c r="BLP80" s="37"/>
      <c r="BLQ80" s="37"/>
      <c r="BLR80" s="37"/>
      <c r="BLS80" s="37"/>
      <c r="BLT80" s="37"/>
      <c r="BLU80" s="38"/>
      <c r="BLV80" s="36"/>
      <c r="BLW80" s="65"/>
      <c r="BLX80" s="65"/>
      <c r="BLY80" s="65"/>
      <c r="BLZ80" s="37"/>
      <c r="BMA80" s="133"/>
      <c r="BMB80" s="37"/>
      <c r="BMC80" s="37"/>
      <c r="BMD80" s="37"/>
      <c r="BME80" s="37"/>
      <c r="BMF80" s="37"/>
      <c r="BMG80" s="138"/>
      <c r="BMH80" s="37"/>
      <c r="BMI80" s="37"/>
      <c r="BMJ80" s="37"/>
      <c r="BMK80" s="37"/>
      <c r="BML80" s="37"/>
      <c r="BMM80" s="75"/>
      <c r="BMN80" s="37"/>
      <c r="BMO80" s="37"/>
      <c r="BMP80" s="37"/>
      <c r="BMQ80" s="37"/>
      <c r="BMR80" s="37"/>
      <c r="BMS80" s="138"/>
      <c r="BMT80" s="37"/>
      <c r="BMU80" s="37"/>
      <c r="BMV80" s="37"/>
      <c r="BMW80" s="37"/>
      <c r="BMX80" s="37"/>
      <c r="BMY80" s="75"/>
      <c r="BMZ80" s="65"/>
      <c r="BNA80" s="65"/>
      <c r="BNB80" s="65"/>
      <c r="BNC80" s="65"/>
      <c r="BND80" s="37"/>
      <c r="BNE80" s="138"/>
      <c r="BNF80" s="37"/>
      <c r="BNG80" s="37"/>
      <c r="BNH80" s="37"/>
      <c r="BNI80" s="37"/>
      <c r="BNJ80" s="37"/>
      <c r="BNK80" s="75"/>
      <c r="BNL80" s="37"/>
      <c r="BNM80" s="37"/>
      <c r="BNN80" s="37"/>
      <c r="BNO80" s="37"/>
      <c r="BNP80" s="37"/>
      <c r="BNQ80" s="138"/>
      <c r="BNR80" s="37"/>
      <c r="BNS80" s="37"/>
      <c r="BNT80" s="37"/>
      <c r="BNU80" s="37"/>
      <c r="BNV80" s="37"/>
      <c r="BNW80" s="75"/>
      <c r="BNX80" s="37"/>
      <c r="BNY80" s="37"/>
      <c r="BNZ80" s="37"/>
      <c r="BOA80" s="37"/>
      <c r="BOB80" s="37"/>
      <c r="BOC80" s="38"/>
      <c r="BOD80" s="90"/>
    </row>
    <row r="81" spans="1:1746" ht="20.100000000000001" customHeight="1" x14ac:dyDescent="0.25">
      <c r="A81" s="100" t="s">
        <v>19</v>
      </c>
      <c r="B81" s="63"/>
      <c r="C81" s="211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40"/>
      <c r="BJO81" s="66"/>
      <c r="BJP81" s="66"/>
      <c r="BJQ81" s="66"/>
      <c r="BJR81" s="41"/>
      <c r="BJS81" s="134"/>
      <c r="BJT81" s="41"/>
      <c r="BJU81" s="41"/>
      <c r="BJV81" s="41"/>
      <c r="BJW81" s="41"/>
      <c r="BJX81" s="41"/>
      <c r="BJY81" s="139"/>
      <c r="BJZ81" s="41"/>
      <c r="BKA81" s="41"/>
      <c r="BKB81" s="41"/>
      <c r="BKC81" s="41"/>
      <c r="BKD81" s="41"/>
      <c r="BKE81" s="76"/>
      <c r="BKF81" s="41"/>
      <c r="BKG81" s="41"/>
      <c r="BKH81" s="41"/>
      <c r="BKI81" s="41"/>
      <c r="BKJ81" s="41"/>
      <c r="BKK81" s="139"/>
      <c r="BKL81" s="41"/>
      <c r="BKM81" s="41"/>
      <c r="BKN81" s="41"/>
      <c r="BKO81" s="41"/>
      <c r="BKP81" s="41"/>
      <c r="BKQ81" s="76"/>
      <c r="BKR81" s="66"/>
      <c r="BKS81" s="66"/>
      <c r="BKT81" s="66"/>
      <c r="BKU81" s="66"/>
      <c r="BKV81" s="41"/>
      <c r="BKW81" s="139"/>
      <c r="BKX81" s="41"/>
      <c r="BKY81" s="41"/>
      <c r="BKZ81" s="41"/>
      <c r="BLA81" s="41"/>
      <c r="BLB81" s="41"/>
      <c r="BLC81" s="76"/>
      <c r="BLD81" s="41"/>
      <c r="BLE81" s="41"/>
      <c r="BLF81" s="41"/>
      <c r="BLG81" s="41"/>
      <c r="BLH81" s="41"/>
      <c r="BLI81" s="139"/>
      <c r="BLJ81" s="41"/>
      <c r="BLK81" s="41"/>
      <c r="BLL81" s="41"/>
      <c r="BLM81" s="41"/>
      <c r="BLN81" s="41"/>
      <c r="BLO81" s="76"/>
      <c r="BLP81" s="41"/>
      <c r="BLQ81" s="41"/>
      <c r="BLR81" s="41"/>
      <c r="BLS81" s="41"/>
      <c r="BLT81" s="41"/>
      <c r="BLU81" s="42"/>
      <c r="BLV81" s="40"/>
      <c r="BLW81" s="66"/>
      <c r="BLX81" s="66"/>
      <c r="BLY81" s="66"/>
      <c r="BLZ81" s="41"/>
      <c r="BMA81" s="134"/>
      <c r="BMB81" s="41"/>
      <c r="BMC81" s="41"/>
      <c r="BMD81" s="41"/>
      <c r="BME81" s="41"/>
      <c r="BMF81" s="41"/>
      <c r="BMG81" s="139"/>
      <c r="BMH81" s="41"/>
      <c r="BMI81" s="41"/>
      <c r="BMJ81" s="41"/>
      <c r="BMK81" s="41"/>
      <c r="BML81" s="41"/>
      <c r="BMM81" s="76"/>
      <c r="BMN81" s="41"/>
      <c r="BMO81" s="41"/>
      <c r="BMP81" s="41"/>
      <c r="BMQ81" s="41"/>
      <c r="BMR81" s="41"/>
      <c r="BMS81" s="139"/>
      <c r="BMT81" s="41"/>
      <c r="BMU81" s="41"/>
      <c r="BMV81" s="41"/>
      <c r="BMW81" s="41"/>
      <c r="BMX81" s="41"/>
      <c r="BMY81" s="76"/>
      <c r="BMZ81" s="66"/>
      <c r="BNA81" s="66"/>
      <c r="BNB81" s="66"/>
      <c r="BNC81" s="66"/>
      <c r="BND81" s="41"/>
      <c r="BNE81" s="139"/>
      <c r="BNF81" s="41"/>
      <c r="BNG81" s="41"/>
      <c r="BNH81" s="41"/>
      <c r="BNI81" s="41"/>
      <c r="BNJ81" s="41"/>
      <c r="BNK81" s="76"/>
      <c r="BNL81" s="41"/>
      <c r="BNM81" s="41"/>
      <c r="BNN81" s="41"/>
      <c r="BNO81" s="41"/>
      <c r="BNP81" s="41"/>
      <c r="BNQ81" s="139"/>
      <c r="BNR81" s="41"/>
      <c r="BNS81" s="41"/>
      <c r="BNT81" s="41"/>
      <c r="BNU81" s="41"/>
      <c r="BNV81" s="41"/>
      <c r="BNW81" s="76"/>
      <c r="BNX81" s="41"/>
      <c r="BNY81" s="41"/>
      <c r="BNZ81" s="41"/>
      <c r="BOA81" s="41"/>
      <c r="BOB81" s="41"/>
      <c r="BOC81" s="42"/>
      <c r="BOD81" s="90"/>
    </row>
    <row r="82" spans="1:1746" ht="20.100000000000001" customHeight="1" x14ac:dyDescent="0.3">
      <c r="A82" s="100" t="s">
        <v>20</v>
      </c>
      <c r="B82" s="63"/>
      <c r="C82" s="213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28"/>
      <c r="BJO82" s="67"/>
      <c r="BJP82" s="67"/>
      <c r="BJQ82" s="67"/>
      <c r="BJR82" s="29"/>
      <c r="BJS82" s="131"/>
      <c r="BJT82" s="29"/>
      <c r="BJU82" s="29"/>
      <c r="BJV82" s="29"/>
      <c r="BJW82" s="29"/>
      <c r="BJX82" s="29"/>
      <c r="BJY82" s="136"/>
      <c r="BJZ82" s="29"/>
      <c r="BKA82" s="29"/>
      <c r="BKB82" s="29"/>
      <c r="BKC82" s="29"/>
      <c r="BKD82" s="29"/>
      <c r="BKE82" s="73"/>
      <c r="BKF82" s="29"/>
      <c r="BKG82" s="29"/>
      <c r="BKH82" s="29"/>
      <c r="BKI82" s="29"/>
      <c r="BKJ82" s="29"/>
      <c r="BKK82" s="136"/>
      <c r="BKL82" s="29"/>
      <c r="BKM82" s="29"/>
      <c r="BKN82" s="29"/>
      <c r="BKO82" s="29"/>
      <c r="BKP82" s="29"/>
      <c r="BKQ82" s="73"/>
      <c r="BKR82" s="67"/>
      <c r="BKS82" s="67"/>
      <c r="BKT82" s="67"/>
      <c r="BKU82" s="67"/>
      <c r="BKV82" s="29"/>
      <c r="BKW82" s="136"/>
      <c r="BKX82" s="29"/>
      <c r="BKY82" s="29"/>
      <c r="BKZ82" s="29"/>
      <c r="BLA82" s="29"/>
      <c r="BLB82" s="29"/>
      <c r="BLC82" s="73"/>
      <c r="BLD82" s="29"/>
      <c r="BLE82" s="29"/>
      <c r="BLF82" s="29"/>
      <c r="BLG82" s="29"/>
      <c r="BLH82" s="29"/>
      <c r="BLI82" s="136"/>
      <c r="BLJ82" s="29"/>
      <c r="BLK82" s="29"/>
      <c r="BLL82" s="29"/>
      <c r="BLM82" s="29"/>
      <c r="BLN82" s="29"/>
      <c r="BLO82" s="73"/>
      <c r="BLP82" s="29"/>
      <c r="BLQ82" s="29"/>
      <c r="BLR82" s="29"/>
      <c r="BLS82" s="29"/>
      <c r="BLT82" s="29"/>
      <c r="BLU82" s="30"/>
      <c r="BLV82" s="28"/>
      <c r="BLW82" s="67"/>
      <c r="BLX82" s="67"/>
      <c r="BLY82" s="67"/>
      <c r="BLZ82" s="29"/>
      <c r="BMA82" s="131"/>
      <c r="BMB82" s="29"/>
      <c r="BMC82" s="29"/>
      <c r="BMD82" s="29"/>
      <c r="BME82" s="29"/>
      <c r="BMF82" s="29"/>
      <c r="BMG82" s="136"/>
      <c r="BMH82" s="29"/>
      <c r="BMI82" s="29"/>
      <c r="BMJ82" s="29"/>
      <c r="BMK82" s="29"/>
      <c r="BML82" s="29"/>
      <c r="BMM82" s="73"/>
      <c r="BMN82" s="29"/>
      <c r="BMO82" s="29"/>
      <c r="BMP82" s="29"/>
      <c r="BMQ82" s="29"/>
      <c r="BMR82" s="29"/>
      <c r="BMS82" s="136"/>
      <c r="BMT82" s="29"/>
      <c r="BMU82" s="29"/>
      <c r="BMV82" s="29"/>
      <c r="BMW82" s="29"/>
      <c r="BMX82" s="29"/>
      <c r="BMY82" s="73"/>
      <c r="BMZ82" s="67"/>
      <c r="BNA82" s="67"/>
      <c r="BNB82" s="67"/>
      <c r="BNC82" s="67"/>
      <c r="BND82" s="29"/>
      <c r="BNE82" s="136"/>
      <c r="BNF82" s="29"/>
      <c r="BNG82" s="29"/>
      <c r="BNH82" s="29"/>
      <c r="BNI82" s="29"/>
      <c r="BNJ82" s="29"/>
      <c r="BNK82" s="73"/>
      <c r="BNL82" s="29"/>
      <c r="BNM82" s="29"/>
      <c r="BNN82" s="29"/>
      <c r="BNO82" s="29"/>
      <c r="BNP82" s="29"/>
      <c r="BNQ82" s="136"/>
      <c r="BNR82" s="29"/>
      <c r="BNS82" s="29"/>
      <c r="BNT82" s="29"/>
      <c r="BNU82" s="29"/>
      <c r="BNV82" s="29"/>
      <c r="BNW82" s="73"/>
      <c r="BNX82" s="29"/>
      <c r="BNY82" s="29"/>
      <c r="BNZ82" s="29"/>
      <c r="BOA82" s="29"/>
      <c r="BOB82" s="29"/>
      <c r="BOC82" s="30"/>
      <c r="BOD82" s="90"/>
    </row>
    <row r="83" spans="1:1746" ht="20.100000000000001" customHeight="1" x14ac:dyDescent="0.25">
      <c r="A83" s="100" t="s">
        <v>19</v>
      </c>
      <c r="B83" s="63"/>
      <c r="C83" s="211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32"/>
      <c r="BJO83" s="64"/>
      <c r="BJP83" s="64"/>
      <c r="BJQ83" s="64"/>
      <c r="BJR83" s="33"/>
      <c r="BJS83" s="132"/>
      <c r="BJT83" s="33"/>
      <c r="BJU83" s="33"/>
      <c r="BJV83" s="33"/>
      <c r="BJW83" s="33"/>
      <c r="BJX83" s="33"/>
      <c r="BJY83" s="137"/>
      <c r="BJZ83" s="33"/>
      <c r="BKA83" s="33"/>
      <c r="BKB83" s="33"/>
      <c r="BKC83" s="33"/>
      <c r="BKD83" s="33"/>
      <c r="BKE83" s="74"/>
      <c r="BKF83" s="33"/>
      <c r="BKG83" s="33"/>
      <c r="BKH83" s="33"/>
      <c r="BKI83" s="33"/>
      <c r="BKJ83" s="33"/>
      <c r="BKK83" s="137"/>
      <c r="BKL83" s="33"/>
      <c r="BKM83" s="33"/>
      <c r="BKN83" s="33"/>
      <c r="BKO83" s="33"/>
      <c r="BKP83" s="33"/>
      <c r="BKQ83" s="74"/>
      <c r="BKR83" s="64"/>
      <c r="BKS83" s="64"/>
      <c r="BKT83" s="64"/>
      <c r="BKU83" s="64"/>
      <c r="BKV83" s="33"/>
      <c r="BKW83" s="137"/>
      <c r="BKX83" s="33"/>
      <c r="BKY83" s="33"/>
      <c r="BKZ83" s="33"/>
      <c r="BLA83" s="33"/>
      <c r="BLB83" s="33"/>
      <c r="BLC83" s="74"/>
      <c r="BLD83" s="33"/>
      <c r="BLE83" s="33"/>
      <c r="BLF83" s="33"/>
      <c r="BLG83" s="33"/>
      <c r="BLH83" s="33"/>
      <c r="BLI83" s="137"/>
      <c r="BLJ83" s="33"/>
      <c r="BLK83" s="33"/>
      <c r="BLL83" s="33"/>
      <c r="BLM83" s="33"/>
      <c r="BLN83" s="33"/>
      <c r="BLO83" s="74"/>
      <c r="BLP83" s="33"/>
      <c r="BLQ83" s="33"/>
      <c r="BLR83" s="33"/>
      <c r="BLS83" s="33"/>
      <c r="BLT83" s="33"/>
      <c r="BLU83" s="34"/>
      <c r="BLV83" s="32"/>
      <c r="BLW83" s="64"/>
      <c r="BLX83" s="64"/>
      <c r="BLY83" s="64"/>
      <c r="BLZ83" s="33"/>
      <c r="BMA83" s="132"/>
      <c r="BMB83" s="33"/>
      <c r="BMC83" s="33"/>
      <c r="BMD83" s="33"/>
      <c r="BME83" s="33"/>
      <c r="BMF83" s="33"/>
      <c r="BMG83" s="137"/>
      <c r="BMH83" s="33"/>
      <c r="BMI83" s="33"/>
      <c r="BMJ83" s="33"/>
      <c r="BMK83" s="33"/>
      <c r="BML83" s="33"/>
      <c r="BMM83" s="74"/>
      <c r="BMN83" s="33"/>
      <c r="BMO83" s="33"/>
      <c r="BMP83" s="33"/>
      <c r="BMQ83" s="33"/>
      <c r="BMR83" s="33"/>
      <c r="BMS83" s="137"/>
      <c r="BMT83" s="33"/>
      <c r="BMU83" s="33"/>
      <c r="BMV83" s="33"/>
      <c r="BMW83" s="33"/>
      <c r="BMX83" s="33"/>
      <c r="BMY83" s="74"/>
      <c r="BMZ83" s="64"/>
      <c r="BNA83" s="64"/>
      <c r="BNB83" s="64"/>
      <c r="BNC83" s="64"/>
      <c r="BND83" s="33"/>
      <c r="BNE83" s="137"/>
      <c r="BNF83" s="33"/>
      <c r="BNG83" s="33"/>
      <c r="BNH83" s="33"/>
      <c r="BNI83" s="33"/>
      <c r="BNJ83" s="33"/>
      <c r="BNK83" s="74"/>
      <c r="BNL83" s="33"/>
      <c r="BNM83" s="33"/>
      <c r="BNN83" s="33"/>
      <c r="BNO83" s="33"/>
      <c r="BNP83" s="33"/>
      <c r="BNQ83" s="137"/>
      <c r="BNR83" s="33"/>
      <c r="BNS83" s="33"/>
      <c r="BNT83" s="33"/>
      <c r="BNU83" s="33"/>
      <c r="BNV83" s="33"/>
      <c r="BNW83" s="74"/>
      <c r="BNX83" s="33"/>
      <c r="BNY83" s="33"/>
      <c r="BNZ83" s="33"/>
      <c r="BOA83" s="33"/>
      <c r="BOB83" s="33"/>
      <c r="BOC83" s="34"/>
      <c r="BOD83" s="90"/>
    </row>
    <row r="84" spans="1:1746" ht="20.100000000000001" customHeight="1" x14ac:dyDescent="0.25">
      <c r="A84" s="100" t="s">
        <v>20</v>
      </c>
      <c r="B84" s="63"/>
      <c r="C84" s="212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36"/>
      <c r="BJO84" s="65"/>
      <c r="BJP84" s="65"/>
      <c r="BJQ84" s="65"/>
      <c r="BJR84" s="37"/>
      <c r="BJS84" s="133"/>
      <c r="BJT84" s="37"/>
      <c r="BJU84" s="37"/>
      <c r="BJV84" s="37"/>
      <c r="BJW84" s="37"/>
      <c r="BJX84" s="37"/>
      <c r="BJY84" s="138"/>
      <c r="BJZ84" s="37"/>
      <c r="BKA84" s="37"/>
      <c r="BKB84" s="37"/>
      <c r="BKC84" s="37"/>
      <c r="BKD84" s="37"/>
      <c r="BKE84" s="75"/>
      <c r="BKF84" s="37"/>
      <c r="BKG84" s="37"/>
      <c r="BKH84" s="37"/>
      <c r="BKI84" s="37"/>
      <c r="BKJ84" s="37"/>
      <c r="BKK84" s="138"/>
      <c r="BKL84" s="37"/>
      <c r="BKM84" s="37"/>
      <c r="BKN84" s="37"/>
      <c r="BKO84" s="37"/>
      <c r="BKP84" s="37"/>
      <c r="BKQ84" s="75"/>
      <c r="BKR84" s="65"/>
      <c r="BKS84" s="65"/>
      <c r="BKT84" s="65"/>
      <c r="BKU84" s="65"/>
      <c r="BKV84" s="37"/>
      <c r="BKW84" s="138"/>
      <c r="BKX84" s="37"/>
      <c r="BKY84" s="37"/>
      <c r="BKZ84" s="37"/>
      <c r="BLA84" s="37"/>
      <c r="BLB84" s="37"/>
      <c r="BLC84" s="75"/>
      <c r="BLD84" s="37"/>
      <c r="BLE84" s="37"/>
      <c r="BLF84" s="37"/>
      <c r="BLG84" s="37"/>
      <c r="BLH84" s="37"/>
      <c r="BLI84" s="138"/>
      <c r="BLJ84" s="37"/>
      <c r="BLK84" s="37"/>
      <c r="BLL84" s="37"/>
      <c r="BLM84" s="37"/>
      <c r="BLN84" s="37"/>
      <c r="BLO84" s="75"/>
      <c r="BLP84" s="37"/>
      <c r="BLQ84" s="37"/>
      <c r="BLR84" s="37"/>
      <c r="BLS84" s="37"/>
      <c r="BLT84" s="37"/>
      <c r="BLU84" s="38"/>
      <c r="BLV84" s="36"/>
      <c r="BLW84" s="65"/>
      <c r="BLX84" s="65"/>
      <c r="BLY84" s="65"/>
      <c r="BLZ84" s="37"/>
      <c r="BMA84" s="133"/>
      <c r="BMB84" s="37"/>
      <c r="BMC84" s="37"/>
      <c r="BMD84" s="37"/>
      <c r="BME84" s="37"/>
      <c r="BMF84" s="37"/>
      <c r="BMG84" s="138"/>
      <c r="BMH84" s="37"/>
      <c r="BMI84" s="37"/>
      <c r="BMJ84" s="37"/>
      <c r="BMK84" s="37"/>
      <c r="BML84" s="37"/>
      <c r="BMM84" s="75"/>
      <c r="BMN84" s="37"/>
      <c r="BMO84" s="37"/>
      <c r="BMP84" s="37"/>
      <c r="BMQ84" s="37"/>
      <c r="BMR84" s="37"/>
      <c r="BMS84" s="138"/>
      <c r="BMT84" s="37"/>
      <c r="BMU84" s="37"/>
      <c r="BMV84" s="37"/>
      <c r="BMW84" s="37"/>
      <c r="BMX84" s="37"/>
      <c r="BMY84" s="75"/>
      <c r="BMZ84" s="65"/>
      <c r="BNA84" s="65"/>
      <c r="BNB84" s="65"/>
      <c r="BNC84" s="65"/>
      <c r="BND84" s="37"/>
      <c r="BNE84" s="138"/>
      <c r="BNF84" s="37"/>
      <c r="BNG84" s="37"/>
      <c r="BNH84" s="37"/>
      <c r="BNI84" s="37"/>
      <c r="BNJ84" s="37"/>
      <c r="BNK84" s="75"/>
      <c r="BNL84" s="37"/>
      <c r="BNM84" s="37"/>
      <c r="BNN84" s="37"/>
      <c r="BNO84" s="37"/>
      <c r="BNP84" s="37"/>
      <c r="BNQ84" s="138"/>
      <c r="BNR84" s="37"/>
      <c r="BNS84" s="37"/>
      <c r="BNT84" s="37"/>
      <c r="BNU84" s="37"/>
      <c r="BNV84" s="37"/>
      <c r="BNW84" s="75"/>
      <c r="BNX84" s="37"/>
      <c r="BNY84" s="37"/>
      <c r="BNZ84" s="37"/>
      <c r="BOA84" s="37"/>
      <c r="BOB84" s="37"/>
      <c r="BOC84" s="38"/>
      <c r="BOD84" s="90"/>
    </row>
    <row r="85" spans="1:1746" ht="20.100000000000001" customHeight="1" x14ac:dyDescent="0.25">
      <c r="A85" s="100" t="s">
        <v>19</v>
      </c>
      <c r="B85" s="63"/>
      <c r="C85" s="211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40"/>
      <c r="BJO85" s="66"/>
      <c r="BJP85" s="66"/>
      <c r="BJQ85" s="66"/>
      <c r="BJR85" s="41"/>
      <c r="BJS85" s="134"/>
      <c r="BJT85" s="41"/>
      <c r="BJU85" s="41"/>
      <c r="BJV85" s="41"/>
      <c r="BJW85" s="41"/>
      <c r="BJX85" s="41"/>
      <c r="BJY85" s="139"/>
      <c r="BJZ85" s="41"/>
      <c r="BKA85" s="41"/>
      <c r="BKB85" s="41"/>
      <c r="BKC85" s="41"/>
      <c r="BKD85" s="41"/>
      <c r="BKE85" s="76"/>
      <c r="BKF85" s="41"/>
      <c r="BKG85" s="41"/>
      <c r="BKH85" s="41"/>
      <c r="BKI85" s="41"/>
      <c r="BKJ85" s="41"/>
      <c r="BKK85" s="139"/>
      <c r="BKL85" s="41"/>
      <c r="BKM85" s="41"/>
      <c r="BKN85" s="41"/>
      <c r="BKO85" s="41"/>
      <c r="BKP85" s="41"/>
      <c r="BKQ85" s="76"/>
      <c r="BKR85" s="66"/>
      <c r="BKS85" s="66"/>
      <c r="BKT85" s="66"/>
      <c r="BKU85" s="66"/>
      <c r="BKV85" s="41"/>
      <c r="BKW85" s="139"/>
      <c r="BKX85" s="41"/>
      <c r="BKY85" s="41"/>
      <c r="BKZ85" s="41"/>
      <c r="BLA85" s="41"/>
      <c r="BLB85" s="41"/>
      <c r="BLC85" s="76"/>
      <c r="BLD85" s="41"/>
      <c r="BLE85" s="41"/>
      <c r="BLF85" s="41"/>
      <c r="BLG85" s="41"/>
      <c r="BLH85" s="41"/>
      <c r="BLI85" s="139"/>
      <c r="BLJ85" s="41"/>
      <c r="BLK85" s="41"/>
      <c r="BLL85" s="41"/>
      <c r="BLM85" s="41"/>
      <c r="BLN85" s="41"/>
      <c r="BLO85" s="76"/>
      <c r="BLP85" s="41"/>
      <c r="BLQ85" s="41"/>
      <c r="BLR85" s="41"/>
      <c r="BLS85" s="41"/>
      <c r="BLT85" s="41"/>
      <c r="BLU85" s="42"/>
      <c r="BLV85" s="40"/>
      <c r="BLW85" s="66"/>
      <c r="BLX85" s="66"/>
      <c r="BLY85" s="66"/>
      <c r="BLZ85" s="41"/>
      <c r="BMA85" s="134"/>
      <c r="BMB85" s="41"/>
      <c r="BMC85" s="41"/>
      <c r="BMD85" s="41"/>
      <c r="BME85" s="41"/>
      <c r="BMF85" s="41"/>
      <c r="BMG85" s="139"/>
      <c r="BMH85" s="41"/>
      <c r="BMI85" s="41"/>
      <c r="BMJ85" s="41"/>
      <c r="BMK85" s="41"/>
      <c r="BML85" s="41"/>
      <c r="BMM85" s="76"/>
      <c r="BMN85" s="41"/>
      <c r="BMO85" s="41"/>
      <c r="BMP85" s="41"/>
      <c r="BMQ85" s="41"/>
      <c r="BMR85" s="41"/>
      <c r="BMS85" s="139"/>
      <c r="BMT85" s="41"/>
      <c r="BMU85" s="41"/>
      <c r="BMV85" s="41"/>
      <c r="BMW85" s="41"/>
      <c r="BMX85" s="41"/>
      <c r="BMY85" s="76"/>
      <c r="BMZ85" s="66"/>
      <c r="BNA85" s="66"/>
      <c r="BNB85" s="66"/>
      <c r="BNC85" s="66"/>
      <c r="BND85" s="41"/>
      <c r="BNE85" s="139"/>
      <c r="BNF85" s="41"/>
      <c r="BNG85" s="41"/>
      <c r="BNH85" s="41"/>
      <c r="BNI85" s="41"/>
      <c r="BNJ85" s="41"/>
      <c r="BNK85" s="76"/>
      <c r="BNL85" s="41"/>
      <c r="BNM85" s="41"/>
      <c r="BNN85" s="41"/>
      <c r="BNO85" s="41"/>
      <c r="BNP85" s="41"/>
      <c r="BNQ85" s="139"/>
      <c r="BNR85" s="41"/>
      <c r="BNS85" s="41"/>
      <c r="BNT85" s="41"/>
      <c r="BNU85" s="41"/>
      <c r="BNV85" s="41"/>
      <c r="BNW85" s="76"/>
      <c r="BNX85" s="41"/>
      <c r="BNY85" s="41"/>
      <c r="BNZ85" s="41"/>
      <c r="BOA85" s="41"/>
      <c r="BOB85" s="41"/>
      <c r="BOC85" s="42"/>
      <c r="BOD85" s="90"/>
    </row>
    <row r="86" spans="1:1746" ht="20.100000000000001" customHeight="1" x14ac:dyDescent="0.3">
      <c r="A86" s="100" t="s">
        <v>20</v>
      </c>
      <c r="B86" s="63"/>
      <c r="C86" s="213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28"/>
      <c r="BJO86" s="67"/>
      <c r="BJP86" s="67"/>
      <c r="BJQ86" s="67"/>
      <c r="BJR86" s="29"/>
      <c r="BJS86" s="131"/>
      <c r="BJT86" s="29"/>
      <c r="BJU86" s="29"/>
      <c r="BJV86" s="29"/>
      <c r="BJW86" s="29"/>
      <c r="BJX86" s="29"/>
      <c r="BJY86" s="136"/>
      <c r="BJZ86" s="29"/>
      <c r="BKA86" s="29"/>
      <c r="BKB86" s="29"/>
      <c r="BKC86" s="29"/>
      <c r="BKD86" s="29"/>
      <c r="BKE86" s="73"/>
      <c r="BKF86" s="29"/>
      <c r="BKG86" s="29"/>
      <c r="BKH86" s="29"/>
      <c r="BKI86" s="29"/>
      <c r="BKJ86" s="29"/>
      <c r="BKK86" s="136"/>
      <c r="BKL86" s="29"/>
      <c r="BKM86" s="29"/>
      <c r="BKN86" s="29"/>
      <c r="BKO86" s="29"/>
      <c r="BKP86" s="29"/>
      <c r="BKQ86" s="73"/>
      <c r="BKR86" s="67"/>
      <c r="BKS86" s="67"/>
      <c r="BKT86" s="67"/>
      <c r="BKU86" s="67"/>
      <c r="BKV86" s="29"/>
      <c r="BKW86" s="136"/>
      <c r="BKX86" s="29"/>
      <c r="BKY86" s="29"/>
      <c r="BKZ86" s="29"/>
      <c r="BLA86" s="29"/>
      <c r="BLB86" s="29"/>
      <c r="BLC86" s="73"/>
      <c r="BLD86" s="29"/>
      <c r="BLE86" s="29"/>
      <c r="BLF86" s="29"/>
      <c r="BLG86" s="29"/>
      <c r="BLH86" s="29"/>
      <c r="BLI86" s="136"/>
      <c r="BLJ86" s="29"/>
      <c r="BLK86" s="29"/>
      <c r="BLL86" s="29"/>
      <c r="BLM86" s="29"/>
      <c r="BLN86" s="29"/>
      <c r="BLO86" s="73"/>
      <c r="BLP86" s="29"/>
      <c r="BLQ86" s="29"/>
      <c r="BLR86" s="29"/>
      <c r="BLS86" s="29"/>
      <c r="BLT86" s="29"/>
      <c r="BLU86" s="30"/>
      <c r="BLV86" s="28"/>
      <c r="BLW86" s="67"/>
      <c r="BLX86" s="67"/>
      <c r="BLY86" s="67"/>
      <c r="BLZ86" s="29"/>
      <c r="BMA86" s="131"/>
      <c r="BMB86" s="29"/>
      <c r="BMC86" s="29"/>
      <c r="BMD86" s="29"/>
      <c r="BME86" s="29"/>
      <c r="BMF86" s="29"/>
      <c r="BMG86" s="136"/>
      <c r="BMH86" s="29"/>
      <c r="BMI86" s="29"/>
      <c r="BMJ86" s="29"/>
      <c r="BMK86" s="29"/>
      <c r="BML86" s="29"/>
      <c r="BMM86" s="73"/>
      <c r="BMN86" s="29"/>
      <c r="BMO86" s="29"/>
      <c r="BMP86" s="29"/>
      <c r="BMQ86" s="29"/>
      <c r="BMR86" s="29"/>
      <c r="BMS86" s="136"/>
      <c r="BMT86" s="29"/>
      <c r="BMU86" s="29"/>
      <c r="BMV86" s="29"/>
      <c r="BMW86" s="29"/>
      <c r="BMX86" s="29"/>
      <c r="BMY86" s="73"/>
      <c r="BMZ86" s="67"/>
      <c r="BNA86" s="67"/>
      <c r="BNB86" s="67"/>
      <c r="BNC86" s="67"/>
      <c r="BND86" s="29"/>
      <c r="BNE86" s="136"/>
      <c r="BNF86" s="29"/>
      <c r="BNG86" s="29"/>
      <c r="BNH86" s="29"/>
      <c r="BNI86" s="29"/>
      <c r="BNJ86" s="29"/>
      <c r="BNK86" s="73"/>
      <c r="BNL86" s="29"/>
      <c r="BNM86" s="29"/>
      <c r="BNN86" s="29"/>
      <c r="BNO86" s="29"/>
      <c r="BNP86" s="29"/>
      <c r="BNQ86" s="136"/>
      <c r="BNR86" s="29"/>
      <c r="BNS86" s="29"/>
      <c r="BNT86" s="29"/>
      <c r="BNU86" s="29"/>
      <c r="BNV86" s="29"/>
      <c r="BNW86" s="73"/>
      <c r="BNX86" s="29"/>
      <c r="BNY86" s="29"/>
      <c r="BNZ86" s="29"/>
      <c r="BOA86" s="29"/>
      <c r="BOB86" s="29"/>
      <c r="BOC86" s="30"/>
      <c r="BOD86" s="90"/>
    </row>
    <row r="87" spans="1:1746" ht="20.100000000000001" customHeight="1" x14ac:dyDescent="0.25">
      <c r="A87" s="100" t="s">
        <v>19</v>
      </c>
      <c r="B87" s="63"/>
      <c r="C87" s="211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32"/>
      <c r="BJO87" s="64"/>
      <c r="BJP87" s="64"/>
      <c r="BJQ87" s="64"/>
      <c r="BJR87" s="33"/>
      <c r="BJS87" s="132"/>
      <c r="BJT87" s="33"/>
      <c r="BJU87" s="33"/>
      <c r="BJV87" s="33"/>
      <c r="BJW87" s="33"/>
      <c r="BJX87" s="33"/>
      <c r="BJY87" s="137"/>
      <c r="BJZ87" s="33"/>
      <c r="BKA87" s="33"/>
      <c r="BKB87" s="33"/>
      <c r="BKC87" s="33"/>
      <c r="BKD87" s="33"/>
      <c r="BKE87" s="74"/>
      <c r="BKF87" s="33"/>
      <c r="BKG87" s="33"/>
      <c r="BKH87" s="33"/>
      <c r="BKI87" s="33"/>
      <c r="BKJ87" s="33"/>
      <c r="BKK87" s="137"/>
      <c r="BKL87" s="33"/>
      <c r="BKM87" s="33"/>
      <c r="BKN87" s="33"/>
      <c r="BKO87" s="33"/>
      <c r="BKP87" s="33"/>
      <c r="BKQ87" s="74"/>
      <c r="BKR87" s="64"/>
      <c r="BKS87" s="64"/>
      <c r="BKT87" s="64"/>
      <c r="BKU87" s="64"/>
      <c r="BKV87" s="33"/>
      <c r="BKW87" s="137"/>
      <c r="BKX87" s="33"/>
      <c r="BKY87" s="33"/>
      <c r="BKZ87" s="33"/>
      <c r="BLA87" s="33"/>
      <c r="BLB87" s="33"/>
      <c r="BLC87" s="74"/>
      <c r="BLD87" s="33"/>
      <c r="BLE87" s="33"/>
      <c r="BLF87" s="33"/>
      <c r="BLG87" s="33"/>
      <c r="BLH87" s="33"/>
      <c r="BLI87" s="137"/>
      <c r="BLJ87" s="33"/>
      <c r="BLK87" s="33"/>
      <c r="BLL87" s="33"/>
      <c r="BLM87" s="33"/>
      <c r="BLN87" s="33"/>
      <c r="BLO87" s="74"/>
      <c r="BLP87" s="33"/>
      <c r="BLQ87" s="33"/>
      <c r="BLR87" s="33"/>
      <c r="BLS87" s="33"/>
      <c r="BLT87" s="33"/>
      <c r="BLU87" s="34"/>
      <c r="BLV87" s="32"/>
      <c r="BLW87" s="64"/>
      <c r="BLX87" s="64"/>
      <c r="BLY87" s="64"/>
      <c r="BLZ87" s="33"/>
      <c r="BMA87" s="132"/>
      <c r="BMB87" s="33"/>
      <c r="BMC87" s="33"/>
      <c r="BMD87" s="33"/>
      <c r="BME87" s="33"/>
      <c r="BMF87" s="33"/>
      <c r="BMG87" s="137"/>
      <c r="BMH87" s="33"/>
      <c r="BMI87" s="33"/>
      <c r="BMJ87" s="33"/>
      <c r="BMK87" s="33"/>
      <c r="BML87" s="33"/>
      <c r="BMM87" s="74"/>
      <c r="BMN87" s="33"/>
      <c r="BMO87" s="33"/>
      <c r="BMP87" s="33"/>
      <c r="BMQ87" s="33"/>
      <c r="BMR87" s="33"/>
      <c r="BMS87" s="137"/>
      <c r="BMT87" s="33"/>
      <c r="BMU87" s="33"/>
      <c r="BMV87" s="33"/>
      <c r="BMW87" s="33"/>
      <c r="BMX87" s="33"/>
      <c r="BMY87" s="74"/>
      <c r="BMZ87" s="64"/>
      <c r="BNA87" s="64"/>
      <c r="BNB87" s="64"/>
      <c r="BNC87" s="64"/>
      <c r="BND87" s="33"/>
      <c r="BNE87" s="137"/>
      <c r="BNF87" s="33"/>
      <c r="BNG87" s="33"/>
      <c r="BNH87" s="33"/>
      <c r="BNI87" s="33"/>
      <c r="BNJ87" s="33"/>
      <c r="BNK87" s="74"/>
      <c r="BNL87" s="33"/>
      <c r="BNM87" s="33"/>
      <c r="BNN87" s="33"/>
      <c r="BNO87" s="33"/>
      <c r="BNP87" s="33"/>
      <c r="BNQ87" s="137"/>
      <c r="BNR87" s="33"/>
      <c r="BNS87" s="33"/>
      <c r="BNT87" s="33"/>
      <c r="BNU87" s="33"/>
      <c r="BNV87" s="33"/>
      <c r="BNW87" s="74"/>
      <c r="BNX87" s="33"/>
      <c r="BNY87" s="33"/>
      <c r="BNZ87" s="33"/>
      <c r="BOA87" s="33"/>
      <c r="BOB87" s="33"/>
      <c r="BOC87" s="34"/>
      <c r="BOD87" s="90"/>
    </row>
    <row r="88" spans="1:1746" ht="20.100000000000001" customHeight="1" x14ac:dyDescent="0.25">
      <c r="A88" s="100" t="s">
        <v>20</v>
      </c>
      <c r="B88" s="63"/>
      <c r="C88" s="212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36"/>
      <c r="BJO88" s="65"/>
      <c r="BJP88" s="65"/>
      <c r="BJQ88" s="65"/>
      <c r="BJR88" s="37"/>
      <c r="BJS88" s="133"/>
      <c r="BJT88" s="37"/>
      <c r="BJU88" s="37"/>
      <c r="BJV88" s="37"/>
      <c r="BJW88" s="37"/>
      <c r="BJX88" s="37"/>
      <c r="BJY88" s="138"/>
      <c r="BJZ88" s="37"/>
      <c r="BKA88" s="37"/>
      <c r="BKB88" s="37"/>
      <c r="BKC88" s="37"/>
      <c r="BKD88" s="37"/>
      <c r="BKE88" s="75"/>
      <c r="BKF88" s="37"/>
      <c r="BKG88" s="37"/>
      <c r="BKH88" s="37"/>
      <c r="BKI88" s="37"/>
      <c r="BKJ88" s="37"/>
      <c r="BKK88" s="138"/>
      <c r="BKL88" s="37"/>
      <c r="BKM88" s="37"/>
      <c r="BKN88" s="37"/>
      <c r="BKO88" s="37"/>
      <c r="BKP88" s="37"/>
      <c r="BKQ88" s="75"/>
      <c r="BKR88" s="65"/>
      <c r="BKS88" s="65"/>
      <c r="BKT88" s="65"/>
      <c r="BKU88" s="65"/>
      <c r="BKV88" s="37"/>
      <c r="BKW88" s="138"/>
      <c r="BKX88" s="37"/>
      <c r="BKY88" s="37"/>
      <c r="BKZ88" s="37"/>
      <c r="BLA88" s="37"/>
      <c r="BLB88" s="37"/>
      <c r="BLC88" s="75"/>
      <c r="BLD88" s="37"/>
      <c r="BLE88" s="37"/>
      <c r="BLF88" s="37"/>
      <c r="BLG88" s="37"/>
      <c r="BLH88" s="37"/>
      <c r="BLI88" s="138"/>
      <c r="BLJ88" s="37"/>
      <c r="BLK88" s="37"/>
      <c r="BLL88" s="37"/>
      <c r="BLM88" s="37"/>
      <c r="BLN88" s="37"/>
      <c r="BLO88" s="75"/>
      <c r="BLP88" s="37"/>
      <c r="BLQ88" s="37"/>
      <c r="BLR88" s="37"/>
      <c r="BLS88" s="37"/>
      <c r="BLT88" s="37"/>
      <c r="BLU88" s="38"/>
      <c r="BLV88" s="36"/>
      <c r="BLW88" s="65"/>
      <c r="BLX88" s="65"/>
      <c r="BLY88" s="65"/>
      <c r="BLZ88" s="37"/>
      <c r="BMA88" s="133"/>
      <c r="BMB88" s="37"/>
      <c r="BMC88" s="37"/>
      <c r="BMD88" s="37"/>
      <c r="BME88" s="37"/>
      <c r="BMF88" s="37"/>
      <c r="BMG88" s="138"/>
      <c r="BMH88" s="37"/>
      <c r="BMI88" s="37"/>
      <c r="BMJ88" s="37"/>
      <c r="BMK88" s="37"/>
      <c r="BML88" s="37"/>
      <c r="BMM88" s="75"/>
      <c r="BMN88" s="37"/>
      <c r="BMO88" s="37"/>
      <c r="BMP88" s="37"/>
      <c r="BMQ88" s="37"/>
      <c r="BMR88" s="37"/>
      <c r="BMS88" s="138"/>
      <c r="BMT88" s="37"/>
      <c r="BMU88" s="37"/>
      <c r="BMV88" s="37"/>
      <c r="BMW88" s="37"/>
      <c r="BMX88" s="37"/>
      <c r="BMY88" s="75"/>
      <c r="BMZ88" s="65"/>
      <c r="BNA88" s="65"/>
      <c r="BNB88" s="65"/>
      <c r="BNC88" s="65"/>
      <c r="BND88" s="37"/>
      <c r="BNE88" s="138"/>
      <c r="BNF88" s="37"/>
      <c r="BNG88" s="37"/>
      <c r="BNH88" s="37"/>
      <c r="BNI88" s="37"/>
      <c r="BNJ88" s="37"/>
      <c r="BNK88" s="75"/>
      <c r="BNL88" s="37"/>
      <c r="BNM88" s="37"/>
      <c r="BNN88" s="37"/>
      <c r="BNO88" s="37"/>
      <c r="BNP88" s="37"/>
      <c r="BNQ88" s="138"/>
      <c r="BNR88" s="37"/>
      <c r="BNS88" s="37"/>
      <c r="BNT88" s="37"/>
      <c r="BNU88" s="37"/>
      <c r="BNV88" s="37"/>
      <c r="BNW88" s="75"/>
      <c r="BNX88" s="37"/>
      <c r="BNY88" s="37"/>
      <c r="BNZ88" s="37"/>
      <c r="BOA88" s="37"/>
      <c r="BOB88" s="37"/>
      <c r="BOC88" s="38"/>
      <c r="BOD88" s="90"/>
    </row>
    <row r="89" spans="1:1746" ht="20.100000000000001" customHeight="1" x14ac:dyDescent="0.25">
      <c r="A89" s="100" t="s">
        <v>19</v>
      </c>
      <c r="B89" s="63"/>
      <c r="C89" s="211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32"/>
      <c r="BJO89" s="64"/>
      <c r="BJP89" s="64"/>
      <c r="BJQ89" s="64"/>
      <c r="BJR89" s="33"/>
      <c r="BJS89" s="132"/>
      <c r="BJT89" s="33"/>
      <c r="BJU89" s="33"/>
      <c r="BJV89" s="33"/>
      <c r="BJW89" s="33"/>
      <c r="BJX89" s="33"/>
      <c r="BJY89" s="137"/>
      <c r="BJZ89" s="33"/>
      <c r="BKA89" s="33"/>
      <c r="BKB89" s="33"/>
      <c r="BKC89" s="33"/>
      <c r="BKD89" s="33"/>
      <c r="BKE89" s="74"/>
      <c r="BKF89" s="33"/>
      <c r="BKG89" s="33"/>
      <c r="BKH89" s="33"/>
      <c r="BKI89" s="33"/>
      <c r="BKJ89" s="33"/>
      <c r="BKK89" s="137"/>
      <c r="BKL89" s="33"/>
      <c r="BKM89" s="33"/>
      <c r="BKN89" s="33"/>
      <c r="BKO89" s="33"/>
      <c r="BKP89" s="33"/>
      <c r="BKQ89" s="74"/>
      <c r="BKR89" s="64"/>
      <c r="BKS89" s="64"/>
      <c r="BKT89" s="64"/>
      <c r="BKU89" s="64"/>
      <c r="BKV89" s="33"/>
      <c r="BKW89" s="137"/>
      <c r="BKX89" s="33"/>
      <c r="BKY89" s="33"/>
      <c r="BKZ89" s="33"/>
      <c r="BLA89" s="33"/>
      <c r="BLB89" s="33"/>
      <c r="BLC89" s="74"/>
      <c r="BLD89" s="33"/>
      <c r="BLE89" s="33"/>
      <c r="BLF89" s="33"/>
      <c r="BLG89" s="33"/>
      <c r="BLH89" s="33"/>
      <c r="BLI89" s="137"/>
      <c r="BLJ89" s="33"/>
      <c r="BLK89" s="33"/>
      <c r="BLL89" s="33"/>
      <c r="BLM89" s="33"/>
      <c r="BLN89" s="33"/>
      <c r="BLO89" s="74"/>
      <c r="BLP89" s="33"/>
      <c r="BLQ89" s="33"/>
      <c r="BLR89" s="33"/>
      <c r="BLS89" s="33"/>
      <c r="BLT89" s="33"/>
      <c r="BLU89" s="34"/>
      <c r="BLV89" s="32"/>
      <c r="BLW89" s="64"/>
      <c r="BLX89" s="64"/>
      <c r="BLY89" s="64"/>
      <c r="BLZ89" s="33"/>
      <c r="BMA89" s="132"/>
      <c r="BMB89" s="33"/>
      <c r="BMC89" s="33"/>
      <c r="BMD89" s="33"/>
      <c r="BME89" s="33"/>
      <c r="BMF89" s="33"/>
      <c r="BMG89" s="137"/>
      <c r="BMH89" s="33"/>
      <c r="BMI89" s="33"/>
      <c r="BMJ89" s="33"/>
      <c r="BMK89" s="33"/>
      <c r="BML89" s="33"/>
      <c r="BMM89" s="74"/>
      <c r="BMN89" s="33"/>
      <c r="BMO89" s="33"/>
      <c r="BMP89" s="33"/>
      <c r="BMQ89" s="33"/>
      <c r="BMR89" s="33"/>
      <c r="BMS89" s="137"/>
      <c r="BMT89" s="33"/>
      <c r="BMU89" s="33"/>
      <c r="BMV89" s="33"/>
      <c r="BMW89" s="33"/>
      <c r="BMX89" s="33"/>
      <c r="BMY89" s="74"/>
      <c r="BMZ89" s="64"/>
      <c r="BNA89" s="64"/>
      <c r="BNB89" s="64"/>
      <c r="BNC89" s="64"/>
      <c r="BND89" s="33"/>
      <c r="BNE89" s="137"/>
      <c r="BNF89" s="33"/>
      <c r="BNG89" s="33"/>
      <c r="BNH89" s="33"/>
      <c r="BNI89" s="33"/>
      <c r="BNJ89" s="33"/>
      <c r="BNK89" s="74"/>
      <c r="BNL89" s="33"/>
      <c r="BNM89" s="33"/>
      <c r="BNN89" s="33"/>
      <c r="BNO89" s="33"/>
      <c r="BNP89" s="33"/>
      <c r="BNQ89" s="137"/>
      <c r="BNR89" s="33"/>
      <c r="BNS89" s="33"/>
      <c r="BNT89" s="33"/>
      <c r="BNU89" s="33"/>
      <c r="BNV89" s="33"/>
      <c r="BNW89" s="74"/>
      <c r="BNX89" s="33"/>
      <c r="BNY89" s="33"/>
      <c r="BNZ89" s="33"/>
      <c r="BOA89" s="33"/>
      <c r="BOB89" s="33"/>
      <c r="BOC89" s="34"/>
      <c r="BOD89" s="90"/>
    </row>
    <row r="90" spans="1:1746" ht="20.100000000000001" customHeight="1" x14ac:dyDescent="0.3">
      <c r="A90" s="100" t="s">
        <v>20</v>
      </c>
      <c r="B90" s="63"/>
      <c r="C90" s="213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36"/>
      <c r="BJO90" s="65"/>
      <c r="BJP90" s="65"/>
      <c r="BJQ90" s="65"/>
      <c r="BJR90" s="37"/>
      <c r="BJS90" s="133"/>
      <c r="BJT90" s="37"/>
      <c r="BJU90" s="37"/>
      <c r="BJV90" s="37"/>
      <c r="BJW90" s="37"/>
      <c r="BJX90" s="37"/>
      <c r="BJY90" s="138"/>
      <c r="BJZ90" s="37"/>
      <c r="BKA90" s="37"/>
      <c r="BKB90" s="37"/>
      <c r="BKC90" s="37"/>
      <c r="BKD90" s="37"/>
      <c r="BKE90" s="75"/>
      <c r="BKF90" s="37"/>
      <c r="BKG90" s="37"/>
      <c r="BKH90" s="37"/>
      <c r="BKI90" s="37"/>
      <c r="BKJ90" s="37"/>
      <c r="BKK90" s="138"/>
      <c r="BKL90" s="37"/>
      <c r="BKM90" s="37"/>
      <c r="BKN90" s="37"/>
      <c r="BKO90" s="37"/>
      <c r="BKP90" s="37"/>
      <c r="BKQ90" s="75"/>
      <c r="BKR90" s="65"/>
      <c r="BKS90" s="65"/>
      <c r="BKT90" s="65"/>
      <c r="BKU90" s="65"/>
      <c r="BKV90" s="37"/>
      <c r="BKW90" s="138"/>
      <c r="BKX90" s="37"/>
      <c r="BKY90" s="37"/>
      <c r="BKZ90" s="37"/>
      <c r="BLA90" s="37"/>
      <c r="BLB90" s="37"/>
      <c r="BLC90" s="75"/>
      <c r="BLD90" s="37"/>
      <c r="BLE90" s="37"/>
      <c r="BLF90" s="37"/>
      <c r="BLG90" s="37"/>
      <c r="BLH90" s="37"/>
      <c r="BLI90" s="138"/>
      <c r="BLJ90" s="37"/>
      <c r="BLK90" s="37"/>
      <c r="BLL90" s="37"/>
      <c r="BLM90" s="37"/>
      <c r="BLN90" s="37"/>
      <c r="BLO90" s="75"/>
      <c r="BLP90" s="37"/>
      <c r="BLQ90" s="37"/>
      <c r="BLR90" s="37"/>
      <c r="BLS90" s="37"/>
      <c r="BLT90" s="37"/>
      <c r="BLU90" s="38"/>
      <c r="BLV90" s="36"/>
      <c r="BLW90" s="65"/>
      <c r="BLX90" s="65"/>
      <c r="BLY90" s="65"/>
      <c r="BLZ90" s="37"/>
      <c r="BMA90" s="133"/>
      <c r="BMB90" s="37"/>
      <c r="BMC90" s="37"/>
      <c r="BMD90" s="37"/>
      <c r="BME90" s="37"/>
      <c r="BMF90" s="37"/>
      <c r="BMG90" s="138"/>
      <c r="BMH90" s="37"/>
      <c r="BMI90" s="37"/>
      <c r="BMJ90" s="37"/>
      <c r="BMK90" s="37"/>
      <c r="BML90" s="37"/>
      <c r="BMM90" s="75"/>
      <c r="BMN90" s="37"/>
      <c r="BMO90" s="37"/>
      <c r="BMP90" s="37"/>
      <c r="BMQ90" s="37"/>
      <c r="BMR90" s="37"/>
      <c r="BMS90" s="138"/>
      <c r="BMT90" s="37"/>
      <c r="BMU90" s="37"/>
      <c r="BMV90" s="37"/>
      <c r="BMW90" s="37"/>
      <c r="BMX90" s="37"/>
      <c r="BMY90" s="75"/>
      <c r="BMZ90" s="65"/>
      <c r="BNA90" s="65"/>
      <c r="BNB90" s="65"/>
      <c r="BNC90" s="65"/>
      <c r="BND90" s="37"/>
      <c r="BNE90" s="138"/>
      <c r="BNF90" s="37"/>
      <c r="BNG90" s="37"/>
      <c r="BNH90" s="37"/>
      <c r="BNI90" s="37"/>
      <c r="BNJ90" s="37"/>
      <c r="BNK90" s="75"/>
      <c r="BNL90" s="37"/>
      <c r="BNM90" s="37"/>
      <c r="BNN90" s="37"/>
      <c r="BNO90" s="37"/>
      <c r="BNP90" s="37"/>
      <c r="BNQ90" s="138"/>
      <c r="BNR90" s="37"/>
      <c r="BNS90" s="37"/>
      <c r="BNT90" s="37"/>
      <c r="BNU90" s="37"/>
      <c r="BNV90" s="37"/>
      <c r="BNW90" s="75"/>
      <c r="BNX90" s="37"/>
      <c r="BNY90" s="37"/>
      <c r="BNZ90" s="37"/>
      <c r="BOA90" s="37"/>
      <c r="BOB90" s="37"/>
      <c r="BOC90" s="38"/>
      <c r="BOD90" s="90"/>
    </row>
    <row r="91" spans="1:1746" ht="20.100000000000001" customHeight="1" x14ac:dyDescent="0.25">
      <c r="A91" s="100" t="s">
        <v>19</v>
      </c>
      <c r="B91" s="63"/>
      <c r="C91" s="211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40"/>
      <c r="BJO91" s="66"/>
      <c r="BJP91" s="66"/>
      <c r="BJQ91" s="66"/>
      <c r="BJR91" s="41"/>
      <c r="BJS91" s="134"/>
      <c r="BJT91" s="41"/>
      <c r="BJU91" s="41"/>
      <c r="BJV91" s="41"/>
      <c r="BJW91" s="41"/>
      <c r="BJX91" s="41"/>
      <c r="BJY91" s="139"/>
      <c r="BJZ91" s="41"/>
      <c r="BKA91" s="41"/>
      <c r="BKB91" s="41"/>
      <c r="BKC91" s="41"/>
      <c r="BKD91" s="41"/>
      <c r="BKE91" s="76"/>
      <c r="BKF91" s="41"/>
      <c r="BKG91" s="41"/>
      <c r="BKH91" s="41"/>
      <c r="BKI91" s="41"/>
      <c r="BKJ91" s="41"/>
      <c r="BKK91" s="139"/>
      <c r="BKL91" s="41"/>
      <c r="BKM91" s="41"/>
      <c r="BKN91" s="41"/>
      <c r="BKO91" s="41"/>
      <c r="BKP91" s="41"/>
      <c r="BKQ91" s="76"/>
      <c r="BKR91" s="66"/>
      <c r="BKS91" s="66"/>
      <c r="BKT91" s="66"/>
      <c r="BKU91" s="66"/>
      <c r="BKV91" s="41"/>
      <c r="BKW91" s="139"/>
      <c r="BKX91" s="41"/>
      <c r="BKY91" s="41"/>
      <c r="BKZ91" s="41"/>
      <c r="BLA91" s="41"/>
      <c r="BLB91" s="41"/>
      <c r="BLC91" s="76"/>
      <c r="BLD91" s="41"/>
      <c r="BLE91" s="41"/>
      <c r="BLF91" s="41"/>
      <c r="BLG91" s="41"/>
      <c r="BLH91" s="41"/>
      <c r="BLI91" s="139"/>
      <c r="BLJ91" s="41"/>
      <c r="BLK91" s="41"/>
      <c r="BLL91" s="41"/>
      <c r="BLM91" s="41"/>
      <c r="BLN91" s="41"/>
      <c r="BLO91" s="76"/>
      <c r="BLP91" s="41"/>
      <c r="BLQ91" s="41"/>
      <c r="BLR91" s="41"/>
      <c r="BLS91" s="41"/>
      <c r="BLT91" s="41"/>
      <c r="BLU91" s="42"/>
      <c r="BLV91" s="40"/>
      <c r="BLW91" s="66"/>
      <c r="BLX91" s="66"/>
      <c r="BLY91" s="66"/>
      <c r="BLZ91" s="41"/>
      <c r="BMA91" s="134"/>
      <c r="BMB91" s="41"/>
      <c r="BMC91" s="41"/>
      <c r="BMD91" s="41"/>
      <c r="BME91" s="41"/>
      <c r="BMF91" s="41"/>
      <c r="BMG91" s="139"/>
      <c r="BMH91" s="41"/>
      <c r="BMI91" s="41"/>
      <c r="BMJ91" s="41"/>
      <c r="BMK91" s="41"/>
      <c r="BML91" s="41"/>
      <c r="BMM91" s="76"/>
      <c r="BMN91" s="41"/>
      <c r="BMO91" s="41"/>
      <c r="BMP91" s="41"/>
      <c r="BMQ91" s="41"/>
      <c r="BMR91" s="41"/>
      <c r="BMS91" s="139"/>
      <c r="BMT91" s="41"/>
      <c r="BMU91" s="41"/>
      <c r="BMV91" s="41"/>
      <c r="BMW91" s="41"/>
      <c r="BMX91" s="41"/>
      <c r="BMY91" s="76"/>
      <c r="BMZ91" s="66"/>
      <c r="BNA91" s="66"/>
      <c r="BNB91" s="66"/>
      <c r="BNC91" s="66"/>
      <c r="BND91" s="41"/>
      <c r="BNE91" s="139"/>
      <c r="BNF91" s="41"/>
      <c r="BNG91" s="41"/>
      <c r="BNH91" s="41"/>
      <c r="BNI91" s="41"/>
      <c r="BNJ91" s="41"/>
      <c r="BNK91" s="76"/>
      <c r="BNL91" s="41"/>
      <c r="BNM91" s="41"/>
      <c r="BNN91" s="41"/>
      <c r="BNO91" s="41"/>
      <c r="BNP91" s="41"/>
      <c r="BNQ91" s="139"/>
      <c r="BNR91" s="41"/>
      <c r="BNS91" s="41"/>
      <c r="BNT91" s="41"/>
      <c r="BNU91" s="41"/>
      <c r="BNV91" s="41"/>
      <c r="BNW91" s="76"/>
      <c r="BNX91" s="41"/>
      <c r="BNY91" s="41"/>
      <c r="BNZ91" s="41"/>
      <c r="BOA91" s="41"/>
      <c r="BOB91" s="41"/>
      <c r="BOC91" s="42"/>
      <c r="BOD91" s="90"/>
    </row>
    <row r="92" spans="1:1746" ht="20.100000000000001" customHeight="1" x14ac:dyDescent="0.3">
      <c r="A92" s="100" t="s">
        <v>20</v>
      </c>
      <c r="B92" s="63"/>
      <c r="C92" s="213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28"/>
      <c r="BJO92" s="67"/>
      <c r="BJP92" s="67"/>
      <c r="BJQ92" s="67"/>
      <c r="BJR92" s="29"/>
      <c r="BJS92" s="133"/>
      <c r="BJT92" s="29"/>
      <c r="BJU92" s="29"/>
      <c r="BJV92" s="29"/>
      <c r="BJW92" s="29"/>
      <c r="BJX92" s="29"/>
      <c r="BJY92" s="138"/>
      <c r="BJZ92" s="29"/>
      <c r="BKA92" s="29"/>
      <c r="BKB92" s="29"/>
      <c r="BKC92" s="29"/>
      <c r="BKD92" s="29"/>
      <c r="BKE92" s="75"/>
      <c r="BKF92" s="29"/>
      <c r="BKG92" s="29"/>
      <c r="BKH92" s="29"/>
      <c r="BKI92" s="29"/>
      <c r="BKJ92" s="29"/>
      <c r="BKK92" s="138"/>
      <c r="BKL92" s="29"/>
      <c r="BKM92" s="29"/>
      <c r="BKN92" s="29"/>
      <c r="BKO92" s="29"/>
      <c r="BKP92" s="29"/>
      <c r="BKQ92" s="75"/>
      <c r="BKR92" s="67"/>
      <c r="BKS92" s="67"/>
      <c r="BKT92" s="67"/>
      <c r="BKU92" s="67"/>
      <c r="BKV92" s="29"/>
      <c r="BKW92" s="138"/>
      <c r="BKX92" s="29"/>
      <c r="BKY92" s="29"/>
      <c r="BKZ92" s="29"/>
      <c r="BLA92" s="29"/>
      <c r="BLB92" s="29"/>
      <c r="BLC92" s="75"/>
      <c r="BLD92" s="29"/>
      <c r="BLE92" s="29"/>
      <c r="BLF92" s="29"/>
      <c r="BLG92" s="29"/>
      <c r="BLH92" s="29"/>
      <c r="BLI92" s="138"/>
      <c r="BLJ92" s="29"/>
      <c r="BLK92" s="29"/>
      <c r="BLL92" s="29"/>
      <c r="BLM92" s="29"/>
      <c r="BLN92" s="29"/>
      <c r="BLO92" s="75"/>
      <c r="BLP92" s="29"/>
      <c r="BLQ92" s="29"/>
      <c r="BLR92" s="29"/>
      <c r="BLS92" s="29"/>
      <c r="BLT92" s="29"/>
      <c r="BLU92" s="30"/>
      <c r="BLV92" s="28"/>
      <c r="BLW92" s="67"/>
      <c r="BLX92" s="67"/>
      <c r="BLY92" s="67"/>
      <c r="BLZ92" s="29"/>
      <c r="BMA92" s="133"/>
      <c r="BMB92" s="29"/>
      <c r="BMC92" s="29"/>
      <c r="BMD92" s="29"/>
      <c r="BME92" s="29"/>
      <c r="BMF92" s="29"/>
      <c r="BMG92" s="138"/>
      <c r="BMH92" s="29"/>
      <c r="BMI92" s="29"/>
      <c r="BMJ92" s="29"/>
      <c r="BMK92" s="29"/>
      <c r="BML92" s="29"/>
      <c r="BMM92" s="75"/>
      <c r="BMN92" s="29"/>
      <c r="BMO92" s="29"/>
      <c r="BMP92" s="29"/>
      <c r="BMQ92" s="29"/>
      <c r="BMR92" s="29"/>
      <c r="BMS92" s="138"/>
      <c r="BMT92" s="29"/>
      <c r="BMU92" s="29"/>
      <c r="BMV92" s="29"/>
      <c r="BMW92" s="29"/>
      <c r="BMX92" s="29"/>
      <c r="BMY92" s="75"/>
      <c r="BMZ92" s="67"/>
      <c r="BNA92" s="67"/>
      <c r="BNB92" s="67"/>
      <c r="BNC92" s="67"/>
      <c r="BND92" s="29"/>
      <c r="BNE92" s="138"/>
      <c r="BNF92" s="29"/>
      <c r="BNG92" s="29"/>
      <c r="BNH92" s="29"/>
      <c r="BNI92" s="29"/>
      <c r="BNJ92" s="29"/>
      <c r="BNK92" s="75"/>
      <c r="BNL92" s="29"/>
      <c r="BNM92" s="29"/>
      <c r="BNN92" s="29"/>
      <c r="BNO92" s="29"/>
      <c r="BNP92" s="29"/>
      <c r="BNQ92" s="138"/>
      <c r="BNR92" s="29"/>
      <c r="BNS92" s="29"/>
      <c r="BNT92" s="29"/>
      <c r="BNU92" s="29"/>
      <c r="BNV92" s="29"/>
      <c r="BNW92" s="75"/>
      <c r="BNX92" s="29"/>
      <c r="BNY92" s="29"/>
      <c r="BNZ92" s="29"/>
      <c r="BOA92" s="29"/>
      <c r="BOB92" s="29"/>
      <c r="BOC92" s="30"/>
      <c r="BOD92" s="90"/>
    </row>
    <row r="93" spans="1:1746" ht="20.100000000000001" customHeight="1" x14ac:dyDescent="0.25">
      <c r="A93" s="100" t="s">
        <v>19</v>
      </c>
      <c r="B93" s="63"/>
      <c r="C93" s="211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32"/>
      <c r="BJO93" s="64"/>
      <c r="BJP93" s="64"/>
      <c r="BJQ93" s="64"/>
      <c r="BJR93" s="33"/>
      <c r="BJS93" s="132"/>
      <c r="BJT93" s="33"/>
      <c r="BJU93" s="33"/>
      <c r="BJV93" s="33"/>
      <c r="BJW93" s="33"/>
      <c r="BJX93" s="33"/>
      <c r="BJY93" s="137"/>
      <c r="BJZ93" s="33"/>
      <c r="BKA93" s="33"/>
      <c r="BKB93" s="33"/>
      <c r="BKC93" s="33"/>
      <c r="BKD93" s="33"/>
      <c r="BKE93" s="74"/>
      <c r="BKF93" s="33"/>
      <c r="BKG93" s="33"/>
      <c r="BKH93" s="33"/>
      <c r="BKI93" s="33"/>
      <c r="BKJ93" s="33"/>
      <c r="BKK93" s="137"/>
      <c r="BKL93" s="33"/>
      <c r="BKM93" s="33"/>
      <c r="BKN93" s="33"/>
      <c r="BKO93" s="33"/>
      <c r="BKP93" s="33"/>
      <c r="BKQ93" s="74"/>
      <c r="BKR93" s="64"/>
      <c r="BKS93" s="64"/>
      <c r="BKT93" s="64"/>
      <c r="BKU93" s="64"/>
      <c r="BKV93" s="33"/>
      <c r="BKW93" s="137"/>
      <c r="BKX93" s="33"/>
      <c r="BKY93" s="33"/>
      <c r="BKZ93" s="33"/>
      <c r="BLA93" s="33"/>
      <c r="BLB93" s="33"/>
      <c r="BLC93" s="74"/>
      <c r="BLD93" s="33"/>
      <c r="BLE93" s="33"/>
      <c r="BLF93" s="33"/>
      <c r="BLG93" s="33"/>
      <c r="BLH93" s="33"/>
      <c r="BLI93" s="137"/>
      <c r="BLJ93" s="33"/>
      <c r="BLK93" s="33"/>
      <c r="BLL93" s="33"/>
      <c r="BLM93" s="33"/>
      <c r="BLN93" s="33"/>
      <c r="BLO93" s="74"/>
      <c r="BLP93" s="33"/>
      <c r="BLQ93" s="33"/>
      <c r="BLR93" s="33"/>
      <c r="BLS93" s="33"/>
      <c r="BLT93" s="33"/>
      <c r="BLU93" s="34"/>
      <c r="BLV93" s="32"/>
      <c r="BLW93" s="64"/>
      <c r="BLX93" s="64"/>
      <c r="BLY93" s="64"/>
      <c r="BLZ93" s="33"/>
      <c r="BMA93" s="132"/>
      <c r="BMB93" s="33"/>
      <c r="BMC93" s="33"/>
      <c r="BMD93" s="33"/>
      <c r="BME93" s="33"/>
      <c r="BMF93" s="33"/>
      <c r="BMG93" s="137"/>
      <c r="BMH93" s="33"/>
      <c r="BMI93" s="33"/>
      <c r="BMJ93" s="33"/>
      <c r="BMK93" s="33"/>
      <c r="BML93" s="33"/>
      <c r="BMM93" s="74"/>
      <c r="BMN93" s="33"/>
      <c r="BMO93" s="33"/>
      <c r="BMP93" s="33"/>
      <c r="BMQ93" s="33"/>
      <c r="BMR93" s="33"/>
      <c r="BMS93" s="137"/>
      <c r="BMT93" s="33"/>
      <c r="BMU93" s="33"/>
      <c r="BMV93" s="33"/>
      <c r="BMW93" s="33"/>
      <c r="BMX93" s="33"/>
      <c r="BMY93" s="74"/>
      <c r="BMZ93" s="64"/>
      <c r="BNA93" s="64"/>
      <c r="BNB93" s="64"/>
      <c r="BNC93" s="64"/>
      <c r="BND93" s="33"/>
      <c r="BNE93" s="137"/>
      <c r="BNF93" s="33"/>
      <c r="BNG93" s="33"/>
      <c r="BNH93" s="33"/>
      <c r="BNI93" s="33"/>
      <c r="BNJ93" s="33"/>
      <c r="BNK93" s="74"/>
      <c r="BNL93" s="33"/>
      <c r="BNM93" s="33"/>
      <c r="BNN93" s="33"/>
      <c r="BNO93" s="33"/>
      <c r="BNP93" s="33"/>
      <c r="BNQ93" s="137"/>
      <c r="BNR93" s="33"/>
      <c r="BNS93" s="33"/>
      <c r="BNT93" s="33"/>
      <c r="BNU93" s="33"/>
      <c r="BNV93" s="33"/>
      <c r="BNW93" s="74"/>
      <c r="BNX93" s="33"/>
      <c r="BNY93" s="33"/>
      <c r="BNZ93" s="33"/>
      <c r="BOA93" s="33"/>
      <c r="BOB93" s="33"/>
      <c r="BOC93" s="34"/>
      <c r="BOD93" s="90"/>
    </row>
    <row r="94" spans="1:1746" ht="20.100000000000001" customHeight="1" x14ac:dyDescent="0.25">
      <c r="A94" s="100" t="s">
        <v>20</v>
      </c>
      <c r="B94" s="63"/>
      <c r="C94" s="212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36"/>
      <c r="BJO94" s="65"/>
      <c r="BJP94" s="65"/>
      <c r="BJQ94" s="65"/>
      <c r="BJR94" s="37"/>
      <c r="BJS94" s="133"/>
      <c r="BJT94" s="37"/>
      <c r="BJU94" s="37"/>
      <c r="BJV94" s="37"/>
      <c r="BJW94" s="37"/>
      <c r="BJX94" s="37"/>
      <c r="BJY94" s="138"/>
      <c r="BJZ94" s="37"/>
      <c r="BKA94" s="37"/>
      <c r="BKB94" s="37"/>
      <c r="BKC94" s="37"/>
      <c r="BKD94" s="37"/>
      <c r="BKE94" s="75"/>
      <c r="BKF94" s="37"/>
      <c r="BKG94" s="37"/>
      <c r="BKH94" s="37"/>
      <c r="BKI94" s="37"/>
      <c r="BKJ94" s="37"/>
      <c r="BKK94" s="138"/>
      <c r="BKL94" s="37"/>
      <c r="BKM94" s="37"/>
      <c r="BKN94" s="37"/>
      <c r="BKO94" s="37"/>
      <c r="BKP94" s="37"/>
      <c r="BKQ94" s="75"/>
      <c r="BKR94" s="65"/>
      <c r="BKS94" s="65"/>
      <c r="BKT94" s="65"/>
      <c r="BKU94" s="65"/>
      <c r="BKV94" s="37"/>
      <c r="BKW94" s="138"/>
      <c r="BKX94" s="37"/>
      <c r="BKY94" s="37"/>
      <c r="BKZ94" s="37"/>
      <c r="BLA94" s="37"/>
      <c r="BLB94" s="37"/>
      <c r="BLC94" s="75"/>
      <c r="BLD94" s="37"/>
      <c r="BLE94" s="37"/>
      <c r="BLF94" s="37"/>
      <c r="BLG94" s="37"/>
      <c r="BLH94" s="37"/>
      <c r="BLI94" s="138"/>
      <c r="BLJ94" s="37"/>
      <c r="BLK94" s="37"/>
      <c r="BLL94" s="37"/>
      <c r="BLM94" s="37"/>
      <c r="BLN94" s="37"/>
      <c r="BLO94" s="75"/>
      <c r="BLP94" s="37"/>
      <c r="BLQ94" s="37"/>
      <c r="BLR94" s="37"/>
      <c r="BLS94" s="37"/>
      <c r="BLT94" s="37"/>
      <c r="BLU94" s="38"/>
      <c r="BLV94" s="36"/>
      <c r="BLW94" s="65"/>
      <c r="BLX94" s="65"/>
      <c r="BLY94" s="65"/>
      <c r="BLZ94" s="37"/>
      <c r="BMA94" s="133"/>
      <c r="BMB94" s="37"/>
      <c r="BMC94" s="37"/>
      <c r="BMD94" s="37"/>
      <c r="BME94" s="37"/>
      <c r="BMF94" s="37"/>
      <c r="BMG94" s="138"/>
      <c r="BMH94" s="37"/>
      <c r="BMI94" s="37"/>
      <c r="BMJ94" s="37"/>
      <c r="BMK94" s="37"/>
      <c r="BML94" s="37"/>
      <c r="BMM94" s="75"/>
      <c r="BMN94" s="37"/>
      <c r="BMO94" s="37"/>
      <c r="BMP94" s="37"/>
      <c r="BMQ94" s="37"/>
      <c r="BMR94" s="37"/>
      <c r="BMS94" s="138"/>
      <c r="BMT94" s="37"/>
      <c r="BMU94" s="37"/>
      <c r="BMV94" s="37"/>
      <c r="BMW94" s="37"/>
      <c r="BMX94" s="37"/>
      <c r="BMY94" s="75"/>
      <c r="BMZ94" s="65"/>
      <c r="BNA94" s="65"/>
      <c r="BNB94" s="65"/>
      <c r="BNC94" s="65"/>
      <c r="BND94" s="37"/>
      <c r="BNE94" s="138"/>
      <c r="BNF94" s="37"/>
      <c r="BNG94" s="37"/>
      <c r="BNH94" s="37"/>
      <c r="BNI94" s="37"/>
      <c r="BNJ94" s="37"/>
      <c r="BNK94" s="75"/>
      <c r="BNL94" s="37"/>
      <c r="BNM94" s="37"/>
      <c r="BNN94" s="37"/>
      <c r="BNO94" s="37"/>
      <c r="BNP94" s="37"/>
      <c r="BNQ94" s="138"/>
      <c r="BNR94" s="37"/>
      <c r="BNS94" s="37"/>
      <c r="BNT94" s="37"/>
      <c r="BNU94" s="37"/>
      <c r="BNV94" s="37"/>
      <c r="BNW94" s="75"/>
      <c r="BNX94" s="37"/>
      <c r="BNY94" s="37"/>
      <c r="BNZ94" s="37"/>
      <c r="BOA94" s="37"/>
      <c r="BOB94" s="37"/>
      <c r="BOC94" s="38"/>
      <c r="BOD94" s="90"/>
    </row>
    <row r="95" spans="1:1746" ht="20.100000000000001" customHeight="1" x14ac:dyDescent="0.25">
      <c r="B95" s="96"/>
      <c r="C95" s="203" t="s">
        <v>9</v>
      </c>
      <c r="D95" s="204"/>
      <c r="E95" s="117">
        <f>SUM(E15,E17,E19,E21,E23,E25,E27,E29,E31,E33,E35,E37,E39,E41,E43,E45,E47,E49,E51,E53,E55,E57,E59,E61,E63,E65,E67,E69,E71,E73,E75,E77,E79,E81,E83,E85,E87,E89,E91,E93)</f>
        <v>1053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70"/>
      <c r="BJO95" s="69"/>
      <c r="BJP95" s="69"/>
      <c r="BJQ95" s="69"/>
      <c r="BJR95" s="69"/>
      <c r="BJS95" s="69"/>
      <c r="BJT95" s="69"/>
      <c r="BJU95" s="69"/>
      <c r="BJV95" s="69"/>
      <c r="BJW95" s="69"/>
      <c r="BJX95" s="69"/>
      <c r="BJY95" s="69"/>
      <c r="BJZ95" s="69"/>
      <c r="BKA95" s="69"/>
      <c r="BKB95" s="69"/>
      <c r="BKC95" s="69"/>
      <c r="BKD95" s="69"/>
      <c r="BKE95" s="69"/>
      <c r="BKF95" s="69"/>
      <c r="BKG95" s="69"/>
      <c r="BKH95" s="69"/>
      <c r="BKI95" s="69"/>
      <c r="BKJ95" s="69"/>
      <c r="BKK95" s="69"/>
      <c r="BKL95" s="69"/>
      <c r="BKM95" s="69"/>
      <c r="BKN95" s="69"/>
      <c r="BKO95" s="69"/>
      <c r="BKP95" s="69"/>
      <c r="BKQ95" s="69"/>
      <c r="BKR95" s="69"/>
      <c r="BKS95" s="69"/>
      <c r="BKT95" s="69"/>
      <c r="BKU95" s="69"/>
      <c r="BKV95" s="69"/>
      <c r="BKW95" s="69"/>
      <c r="BKX95" s="69"/>
      <c r="BKY95" s="69"/>
      <c r="BKZ95" s="69"/>
      <c r="BLA95" s="69"/>
      <c r="BLB95" s="69"/>
      <c r="BLC95" s="69"/>
      <c r="BLD95" s="69"/>
      <c r="BLE95" s="69"/>
      <c r="BLF95" s="69"/>
      <c r="BLG95" s="69"/>
      <c r="BLH95" s="69"/>
      <c r="BLI95" s="69"/>
      <c r="BLJ95" s="69"/>
      <c r="BLK95" s="69"/>
      <c r="BLL95" s="69"/>
      <c r="BLM95" s="69"/>
      <c r="BLN95" s="69"/>
      <c r="BLO95" s="69"/>
      <c r="BLP95" s="69"/>
      <c r="BLQ95" s="69"/>
      <c r="BLR95" s="69"/>
      <c r="BLS95" s="69"/>
      <c r="BLT95" s="69"/>
      <c r="BLU95" s="85"/>
      <c r="BLV95" s="70"/>
      <c r="BLW95" s="69"/>
      <c r="BLX95" s="69"/>
      <c r="BLY95" s="69"/>
      <c r="BLZ95" s="69"/>
      <c r="BMA95" s="69"/>
      <c r="BMB95" s="69"/>
      <c r="BMC95" s="69"/>
      <c r="BMD95" s="69"/>
      <c r="BME95" s="69"/>
      <c r="BMF95" s="69"/>
      <c r="BMG95" s="69"/>
      <c r="BMH95" s="69"/>
      <c r="BMI95" s="69"/>
      <c r="BMJ95" s="69"/>
      <c r="BMK95" s="69"/>
      <c r="BML95" s="69"/>
      <c r="BMM95" s="69"/>
      <c r="BMN95" s="69"/>
      <c r="BMO95" s="69"/>
      <c r="BMP95" s="69"/>
      <c r="BMQ95" s="69"/>
      <c r="BMR95" s="69"/>
      <c r="BMS95" s="69"/>
      <c r="BMT95" s="69"/>
      <c r="BMU95" s="69"/>
      <c r="BMV95" s="69"/>
      <c r="BMW95" s="69"/>
      <c r="BMX95" s="69"/>
      <c r="BMY95" s="69"/>
      <c r="BMZ95" s="69"/>
      <c r="BNA95" s="69"/>
      <c r="BNB95" s="69"/>
      <c r="BNC95" s="69"/>
      <c r="BND95" s="69"/>
      <c r="BNE95" s="69"/>
      <c r="BNF95" s="69"/>
      <c r="BNG95" s="69"/>
      <c r="BNH95" s="69"/>
      <c r="BNI95" s="69"/>
      <c r="BNJ95" s="69"/>
      <c r="BNK95" s="69"/>
      <c r="BNL95" s="69"/>
      <c r="BNM95" s="69"/>
      <c r="BNN95" s="69"/>
      <c r="BNO95" s="69"/>
      <c r="BNP95" s="69"/>
      <c r="BNQ95" s="69"/>
      <c r="BNR95" s="69"/>
      <c r="BNS95" s="69"/>
      <c r="BNT95" s="69"/>
      <c r="BNU95" s="69"/>
      <c r="BNV95" s="69"/>
      <c r="BNW95" s="69"/>
      <c r="BNX95" s="69"/>
      <c r="BNY95" s="69"/>
      <c r="BNZ95" s="69"/>
      <c r="BOA95" s="69"/>
      <c r="BOB95" s="69"/>
      <c r="BOC95" s="85"/>
      <c r="BOD95" s="90"/>
    </row>
    <row r="96" spans="1:1746" ht="20.100000000000001" customHeight="1" thickBot="1" x14ac:dyDescent="0.3">
      <c r="B96" s="96"/>
      <c r="C96" s="205"/>
      <c r="D96" s="206"/>
      <c r="E96" s="123" t="str">
        <f xml:space="preserve"> setValueToTime(E95)</f>
        <v>87h45min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112"/>
      <c r="BJO96" s="113"/>
      <c r="BJP96" s="113"/>
      <c r="BJQ96" s="113"/>
      <c r="BJR96" s="113"/>
      <c r="BJS96" s="113"/>
      <c r="BJT96" s="113"/>
      <c r="BJU96" s="113"/>
      <c r="BJV96" s="113"/>
      <c r="BJW96" s="113"/>
      <c r="BJX96" s="113"/>
      <c r="BJY96" s="113"/>
      <c r="BJZ96" s="113"/>
      <c r="BKA96" s="113"/>
      <c r="BKB96" s="113"/>
      <c r="BKC96" s="113"/>
      <c r="BKD96" s="113"/>
      <c r="BKE96" s="113"/>
      <c r="BKF96" s="113"/>
      <c r="BKG96" s="113"/>
      <c r="BKH96" s="113"/>
      <c r="BKI96" s="113"/>
      <c r="BKJ96" s="113"/>
      <c r="BKK96" s="113"/>
      <c r="BKL96" s="113"/>
      <c r="BKM96" s="113"/>
      <c r="BKN96" s="113"/>
      <c r="BKO96" s="113"/>
      <c r="BKP96" s="113"/>
      <c r="BKQ96" s="113"/>
      <c r="BKR96" s="113"/>
      <c r="BKS96" s="113"/>
      <c r="BKT96" s="113"/>
      <c r="BKU96" s="113"/>
      <c r="BKV96" s="113"/>
      <c r="BKW96" s="113"/>
      <c r="BKX96" s="113"/>
      <c r="BKY96" s="113"/>
      <c r="BKZ96" s="113"/>
      <c r="BLA96" s="113"/>
      <c r="BLB96" s="113"/>
      <c r="BLC96" s="113"/>
      <c r="BLD96" s="113"/>
      <c r="BLE96" s="113"/>
      <c r="BLF96" s="113"/>
      <c r="BLG96" s="113"/>
      <c r="BLH96" s="113"/>
      <c r="BLI96" s="113"/>
      <c r="BLJ96" s="113"/>
      <c r="BLK96" s="113"/>
      <c r="BLL96" s="113"/>
      <c r="BLM96" s="113"/>
      <c r="BLN96" s="113"/>
      <c r="BLO96" s="113"/>
      <c r="BLP96" s="113"/>
      <c r="BLQ96" s="113"/>
      <c r="BLR96" s="113"/>
      <c r="BLS96" s="113"/>
      <c r="BLT96" s="113"/>
      <c r="BLU96" s="114"/>
      <c r="BLV96" s="112"/>
      <c r="BLW96" s="113"/>
      <c r="BLX96" s="113"/>
      <c r="BLY96" s="113"/>
      <c r="BLZ96" s="113"/>
      <c r="BMA96" s="113"/>
      <c r="BMB96" s="113"/>
      <c r="BMC96" s="113"/>
      <c r="BMD96" s="113"/>
      <c r="BME96" s="113"/>
      <c r="BMF96" s="113"/>
      <c r="BMG96" s="113"/>
      <c r="BMH96" s="113"/>
      <c r="BMI96" s="113"/>
      <c r="BMJ96" s="113"/>
      <c r="BMK96" s="113"/>
      <c r="BML96" s="113"/>
      <c r="BMM96" s="113"/>
      <c r="BMN96" s="113"/>
      <c r="BMO96" s="113"/>
      <c r="BMP96" s="113"/>
      <c r="BMQ96" s="113"/>
      <c r="BMR96" s="113"/>
      <c r="BMS96" s="113"/>
      <c r="BMT96" s="113"/>
      <c r="BMU96" s="113"/>
      <c r="BMV96" s="113"/>
      <c r="BMW96" s="113"/>
      <c r="BMX96" s="113"/>
      <c r="BMY96" s="113"/>
      <c r="BMZ96" s="113"/>
      <c r="BNA96" s="113"/>
      <c r="BNB96" s="113"/>
      <c r="BNC96" s="113"/>
      <c r="BND96" s="113"/>
      <c r="BNE96" s="113"/>
      <c r="BNF96" s="113"/>
      <c r="BNG96" s="113"/>
      <c r="BNH96" s="113"/>
      <c r="BNI96" s="113"/>
      <c r="BNJ96" s="113"/>
      <c r="BNK96" s="113"/>
      <c r="BNL96" s="113"/>
      <c r="BNM96" s="113"/>
      <c r="BNN96" s="113"/>
      <c r="BNO96" s="113"/>
      <c r="BNP96" s="113"/>
      <c r="BNQ96" s="113"/>
      <c r="BNR96" s="113"/>
      <c r="BNS96" s="113"/>
      <c r="BNT96" s="113"/>
      <c r="BNU96" s="113"/>
      <c r="BNV96" s="113"/>
      <c r="BNW96" s="113"/>
      <c r="BNX96" s="113"/>
      <c r="BNY96" s="113"/>
      <c r="BNZ96" s="113"/>
      <c r="BOA96" s="113"/>
      <c r="BOB96" s="113"/>
      <c r="BOC96" s="114"/>
      <c r="BOD96" s="90"/>
    </row>
    <row r="97" spans="2:1746" ht="20.100000000000001" customHeight="1" x14ac:dyDescent="0.25">
      <c r="B97" s="96"/>
      <c r="C97" s="207" t="s">
        <v>10</v>
      </c>
      <c r="D97" s="208"/>
      <c r="E97" s="118">
        <f>SUM(E16,E18,E20,E22,E24,E26,E28,E30,E32,E34,E36,E38,E40,E42,E44,E46,E48,E50,E52,E54,E56,E58,E60,E62,E64,E66,E68,E70,E72,E74,E76,E78,E80,E82,E84,E86,E88,E90,E92,E94)</f>
        <v>149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15"/>
      <c r="BJO97" s="115"/>
      <c r="BJP97" s="115"/>
      <c r="BJQ97" s="115"/>
      <c r="BJR97" s="115"/>
      <c r="BJS97" s="115"/>
      <c r="BJT97" s="115"/>
      <c r="BJU97" s="115"/>
      <c r="BJV97" s="115"/>
      <c r="BJW97" s="115"/>
      <c r="BJX97" s="115"/>
      <c r="BJY97" s="115"/>
      <c r="BJZ97" s="115"/>
      <c r="BKA97" s="115"/>
      <c r="BKB97" s="115"/>
      <c r="BKC97" s="115"/>
      <c r="BKD97" s="115"/>
      <c r="BKE97" s="115"/>
      <c r="BKF97" s="115"/>
      <c r="BKG97" s="115"/>
      <c r="BKH97" s="115"/>
      <c r="BKI97" s="115"/>
      <c r="BKJ97" s="115"/>
      <c r="BKK97" s="115"/>
      <c r="BKL97" s="115"/>
      <c r="BKM97" s="115"/>
      <c r="BKN97" s="115"/>
      <c r="BKO97" s="115"/>
      <c r="BKP97" s="115"/>
      <c r="BKQ97" s="115"/>
      <c r="BKR97" s="115"/>
      <c r="BKS97" s="115"/>
      <c r="BKT97" s="115"/>
      <c r="BKU97" s="115"/>
      <c r="BKV97" s="115"/>
      <c r="BKW97" s="115"/>
      <c r="BKX97" s="115"/>
      <c r="BKY97" s="115"/>
      <c r="BKZ97" s="115"/>
      <c r="BLA97" s="115"/>
      <c r="BLB97" s="115"/>
      <c r="BLC97" s="115"/>
      <c r="BLD97" s="115"/>
      <c r="BLE97" s="115"/>
      <c r="BLF97" s="115"/>
      <c r="BLG97" s="115"/>
      <c r="BLH97" s="115"/>
      <c r="BLI97" s="115"/>
      <c r="BLJ97" s="115"/>
      <c r="BLK97" s="115"/>
      <c r="BLL97" s="115"/>
      <c r="BLM97" s="115"/>
      <c r="BLN97" s="115"/>
      <c r="BLO97" s="115"/>
      <c r="BLP97" s="115"/>
      <c r="BLQ97" s="115"/>
      <c r="BLR97" s="115"/>
      <c r="BLS97" s="115"/>
      <c r="BLT97" s="115"/>
      <c r="BLU97" s="116"/>
      <c r="BLV97" s="115"/>
      <c r="BLW97" s="115"/>
      <c r="BLX97" s="115"/>
      <c r="BLY97" s="115"/>
      <c r="BLZ97" s="115"/>
      <c r="BMA97" s="115"/>
      <c r="BMB97" s="115"/>
      <c r="BMC97" s="115"/>
      <c r="BMD97" s="115"/>
      <c r="BME97" s="115"/>
      <c r="BMF97" s="115"/>
      <c r="BMG97" s="115"/>
      <c r="BMH97" s="115"/>
      <c r="BMI97" s="115"/>
      <c r="BMJ97" s="115"/>
      <c r="BMK97" s="115"/>
      <c r="BML97" s="115"/>
      <c r="BMM97" s="115"/>
      <c r="BMN97" s="115"/>
      <c r="BMO97" s="115"/>
      <c r="BMP97" s="115"/>
      <c r="BMQ97" s="115"/>
      <c r="BMR97" s="115"/>
      <c r="BMS97" s="115"/>
      <c r="BMT97" s="115"/>
      <c r="BMU97" s="115"/>
      <c r="BMV97" s="115"/>
      <c r="BMW97" s="115"/>
      <c r="BMX97" s="115"/>
      <c r="BMY97" s="115"/>
      <c r="BMZ97" s="115"/>
      <c r="BNA97" s="115"/>
      <c r="BNB97" s="115"/>
      <c r="BNC97" s="115"/>
      <c r="BND97" s="115"/>
      <c r="BNE97" s="115"/>
      <c r="BNF97" s="115"/>
      <c r="BNG97" s="115"/>
      <c r="BNH97" s="115"/>
      <c r="BNI97" s="115"/>
      <c r="BNJ97" s="115"/>
      <c r="BNK97" s="115"/>
      <c r="BNL97" s="115"/>
      <c r="BNM97" s="115"/>
      <c r="BNN97" s="115"/>
      <c r="BNO97" s="115"/>
      <c r="BNP97" s="115"/>
      <c r="BNQ97" s="115"/>
      <c r="BNR97" s="115"/>
      <c r="BNS97" s="115"/>
      <c r="BNT97" s="115"/>
      <c r="BNU97" s="115"/>
      <c r="BNV97" s="115"/>
      <c r="BNW97" s="115"/>
      <c r="BNX97" s="115"/>
      <c r="BNY97" s="115"/>
      <c r="BNZ97" s="115"/>
      <c r="BOA97" s="115"/>
      <c r="BOB97" s="115"/>
      <c r="BOC97" s="116"/>
      <c r="BOD97" s="124"/>
    </row>
    <row r="98" spans="2:1746" ht="20.100000000000001" customHeight="1" thickBot="1" x14ac:dyDescent="0.3">
      <c r="B98" s="96"/>
      <c r="C98" s="209"/>
      <c r="D98" s="210"/>
      <c r="E98" s="122" t="str">
        <f xml:space="preserve"> setValueToTime(E97)</f>
        <v>12h25min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71"/>
      <c r="BJO98" s="71"/>
      <c r="BJP98" s="71"/>
      <c r="BJQ98" s="71"/>
      <c r="BJR98" s="71"/>
      <c r="BJS98" s="71"/>
      <c r="BJT98" s="71"/>
      <c r="BJU98" s="71"/>
      <c r="BJV98" s="71"/>
      <c r="BJW98" s="71"/>
      <c r="BJX98" s="71"/>
      <c r="BJY98" s="71"/>
      <c r="BJZ98" s="71"/>
      <c r="BKA98" s="71"/>
      <c r="BKB98" s="71"/>
      <c r="BKC98" s="71"/>
      <c r="BKD98" s="71"/>
      <c r="BKE98" s="71"/>
      <c r="BKF98" s="71"/>
      <c r="BKG98" s="71"/>
      <c r="BKH98" s="71"/>
      <c r="BKI98" s="71"/>
      <c r="BKJ98" s="71"/>
      <c r="BKK98" s="71"/>
      <c r="BKL98" s="71"/>
      <c r="BKM98" s="71"/>
      <c r="BKN98" s="71"/>
      <c r="BKO98" s="71"/>
      <c r="BKP98" s="71"/>
      <c r="BKQ98" s="71"/>
      <c r="BKR98" s="71"/>
      <c r="BKS98" s="71"/>
      <c r="BKT98" s="71"/>
      <c r="BKU98" s="71"/>
      <c r="BKV98" s="71"/>
      <c r="BKW98" s="71"/>
      <c r="BKX98" s="71"/>
      <c r="BKY98" s="71"/>
      <c r="BKZ98" s="71"/>
      <c r="BLA98" s="71"/>
      <c r="BLB98" s="71"/>
      <c r="BLC98" s="71"/>
      <c r="BLD98" s="71"/>
      <c r="BLE98" s="71"/>
      <c r="BLF98" s="71"/>
      <c r="BLG98" s="71"/>
      <c r="BLH98" s="71"/>
      <c r="BLI98" s="71"/>
      <c r="BLJ98" s="71"/>
      <c r="BLK98" s="71"/>
      <c r="BLL98" s="71"/>
      <c r="BLM98" s="71"/>
      <c r="BLN98" s="71"/>
      <c r="BLO98" s="71"/>
      <c r="BLP98" s="71"/>
      <c r="BLQ98" s="71"/>
      <c r="BLR98" s="71"/>
      <c r="BLS98" s="71"/>
      <c r="BLT98" s="71"/>
      <c r="BLU98" s="86"/>
      <c r="BLV98" s="71"/>
      <c r="BLW98" s="71"/>
      <c r="BLX98" s="71"/>
      <c r="BLY98" s="71"/>
      <c r="BLZ98" s="71"/>
      <c r="BMA98" s="71"/>
      <c r="BMB98" s="71"/>
      <c r="BMC98" s="71"/>
      <c r="BMD98" s="71"/>
      <c r="BME98" s="71"/>
      <c r="BMF98" s="71"/>
      <c r="BMG98" s="71"/>
      <c r="BMH98" s="71"/>
      <c r="BMI98" s="71"/>
      <c r="BMJ98" s="71"/>
      <c r="BMK98" s="71"/>
      <c r="BML98" s="71"/>
      <c r="BMM98" s="71"/>
      <c r="BMN98" s="71"/>
      <c r="BMO98" s="71"/>
      <c r="BMP98" s="71"/>
      <c r="BMQ98" s="71"/>
      <c r="BMR98" s="71"/>
      <c r="BMS98" s="71"/>
      <c r="BMT98" s="71"/>
      <c r="BMU98" s="71"/>
      <c r="BMV98" s="71"/>
      <c r="BMW98" s="71"/>
      <c r="BMX98" s="71"/>
      <c r="BMY98" s="71"/>
      <c r="BMZ98" s="71"/>
      <c r="BNA98" s="71"/>
      <c r="BNB98" s="71"/>
      <c r="BNC98" s="71"/>
      <c r="BND98" s="71"/>
      <c r="BNE98" s="71"/>
      <c r="BNF98" s="71"/>
      <c r="BNG98" s="71"/>
      <c r="BNH98" s="71"/>
      <c r="BNI98" s="71"/>
      <c r="BNJ98" s="71"/>
      <c r="BNK98" s="71"/>
      <c r="BNL98" s="71"/>
      <c r="BNM98" s="71"/>
      <c r="BNN98" s="71"/>
      <c r="BNO98" s="71"/>
      <c r="BNP98" s="71"/>
      <c r="BNQ98" s="71"/>
      <c r="BNR98" s="71"/>
      <c r="BNS98" s="71"/>
      <c r="BNT98" s="71"/>
      <c r="BNU98" s="71"/>
      <c r="BNV98" s="71"/>
      <c r="BNW98" s="71"/>
      <c r="BNX98" s="71"/>
      <c r="BNY98" s="71"/>
      <c r="BNZ98" s="71"/>
      <c r="BOA98" s="71"/>
      <c r="BOB98" s="71"/>
      <c r="BOC98" s="86"/>
      <c r="BOD98" s="90"/>
    </row>
    <row r="99" spans="2:174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89"/>
      <c r="BJO99" s="89"/>
      <c r="BJP99" s="89"/>
      <c r="BJQ99" s="89"/>
      <c r="BJR99" s="89"/>
      <c r="BJS99" s="89"/>
      <c r="BJT99" s="89"/>
      <c r="BJU99" s="89"/>
      <c r="BJV99" s="89"/>
      <c r="BJW99" s="89"/>
      <c r="BJX99" s="89"/>
      <c r="BJY99" s="89"/>
      <c r="BJZ99" s="89"/>
      <c r="BKA99" s="89"/>
      <c r="BKB99" s="89"/>
      <c r="BKC99" s="89"/>
      <c r="BKD99" s="89"/>
      <c r="BKE99" s="89"/>
      <c r="BKF99" s="89"/>
      <c r="BKG99" s="89"/>
      <c r="BKH99" s="89"/>
      <c r="BKI99" s="89"/>
      <c r="BKJ99" s="89"/>
      <c r="BKK99" s="89"/>
      <c r="BKL99" s="89"/>
      <c r="BKM99" s="89"/>
      <c r="BKN99" s="89"/>
      <c r="BKO99" s="89"/>
      <c r="BKP99" s="89"/>
      <c r="BKQ99" s="89"/>
      <c r="BKR99" s="89"/>
      <c r="BKS99" s="89"/>
      <c r="BKT99" s="89"/>
      <c r="BKU99" s="89"/>
      <c r="BKV99" s="89"/>
      <c r="BKW99" s="89"/>
      <c r="BKX99" s="89"/>
      <c r="BKY99" s="89"/>
      <c r="BKZ99" s="89"/>
      <c r="BLA99" s="89"/>
      <c r="BLB99" s="89"/>
      <c r="BLC99" s="89"/>
      <c r="BLD99" s="89"/>
      <c r="BLE99" s="89"/>
      <c r="BLF99" s="89"/>
      <c r="BLG99" s="89"/>
      <c r="BLH99" s="89"/>
      <c r="BLI99" s="89"/>
      <c r="BLJ99" s="89"/>
      <c r="BLK99" s="89"/>
      <c r="BLL99" s="89"/>
      <c r="BLM99" s="89"/>
      <c r="BLN99" s="89"/>
      <c r="BLO99" s="89"/>
      <c r="BLP99" s="89"/>
      <c r="BLQ99" s="89"/>
      <c r="BLR99" s="89"/>
      <c r="BLS99" s="89"/>
      <c r="BLT99" s="89"/>
      <c r="BLU99" s="89"/>
      <c r="BLV99" s="89"/>
      <c r="BLW99" s="89"/>
      <c r="BLX99" s="89"/>
      <c r="BLY99" s="89"/>
      <c r="BLZ99" s="89"/>
      <c r="BMA99" s="89"/>
      <c r="BMB99" s="89"/>
      <c r="BMC99" s="89"/>
      <c r="BMD99" s="89"/>
      <c r="BME99" s="89"/>
      <c r="BMF99" s="89"/>
      <c r="BMG99" s="89"/>
      <c r="BMH99" s="89"/>
      <c r="BMI99" s="89"/>
      <c r="BMJ99" s="89"/>
      <c r="BMK99" s="89"/>
      <c r="BML99" s="89"/>
      <c r="BMM99" s="89"/>
      <c r="BMN99" s="89"/>
      <c r="BMO99" s="89"/>
      <c r="BMP99" s="89"/>
      <c r="BMQ99" s="89"/>
      <c r="BMR99" s="89"/>
      <c r="BMS99" s="89"/>
      <c r="BMT99" s="89"/>
      <c r="BMU99" s="89"/>
      <c r="BMV99" s="89"/>
      <c r="BMW99" s="89"/>
      <c r="BMX99" s="89"/>
      <c r="BMY99" s="89"/>
      <c r="BMZ99" s="89"/>
      <c r="BNA99" s="89"/>
      <c r="BNB99" s="89"/>
      <c r="BNC99" s="89"/>
      <c r="BND99" s="89"/>
      <c r="BNE99" s="89"/>
      <c r="BNF99" s="89"/>
      <c r="BNG99" s="89"/>
      <c r="BNH99" s="89"/>
      <c r="BNI99" s="89"/>
      <c r="BNJ99" s="89"/>
      <c r="BNK99" s="89"/>
      <c r="BNL99" s="89"/>
      <c r="BNM99" s="89"/>
      <c r="BNN99" s="89"/>
      <c r="BNO99" s="89"/>
      <c r="BNP99" s="89"/>
      <c r="BNQ99" s="89"/>
      <c r="BNR99" s="89"/>
      <c r="BNS99" s="89"/>
      <c r="BNT99" s="89"/>
      <c r="BNU99" s="89"/>
      <c r="BNV99" s="89"/>
      <c r="BNW99" s="89"/>
      <c r="BNX99" s="89"/>
      <c r="BNY99" s="89"/>
      <c r="BNZ99" s="89"/>
      <c r="BOA99" s="89"/>
      <c r="BOB99" s="89"/>
      <c r="BOC99" s="89"/>
      <c r="BOD99" s="91"/>
    </row>
  </sheetData>
  <sheetProtection insertRows="0" insertHyperlinks="0" selectLockedCells="1"/>
  <mergeCells count="427"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286" activePane="bottomLeft" state="frozen"/>
      <selection activeCell="BC13" sqref="BC13"/>
      <selection pane="bottomLeft" activeCell="A268" sqref="A268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42578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45441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39</v>
      </c>
      <c r="C3" s="151"/>
      <c r="D3" s="80" t="s">
        <v>12</v>
      </c>
      <c r="E3" s="227" t="s">
        <v>13</v>
      </c>
      <c r="F3" s="228"/>
      <c r="G3" s="46"/>
    </row>
    <row r="4" spans="1:7" s="52" customFormat="1" x14ac:dyDescent="0.3">
      <c r="A4" s="48" t="s">
        <v>117</v>
      </c>
      <c r="B4" s="49">
        <v>38</v>
      </c>
      <c r="C4" s="152" t="str">
        <f xml:space="preserve"> IF(B4="","",setValueToTime(B4))</f>
        <v>3h10min</v>
      </c>
      <c r="D4" s="176" t="s">
        <v>127</v>
      </c>
      <c r="E4" s="229"/>
      <c r="F4" s="230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31"/>
      <c r="F10" s="23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5"/>
      <c r="F11" s="236"/>
      <c r="G11" s="51"/>
    </row>
    <row r="12" spans="1:7" s="52" customFormat="1" ht="15" thickBot="1" x14ac:dyDescent="0.35">
      <c r="A12" s="111" t="s">
        <v>28</v>
      </c>
      <c r="B12" s="84">
        <f>SUM(B4:B11)</f>
        <v>38</v>
      </c>
      <c r="C12" s="111" t="str">
        <f xml:space="preserve"> setValueToTime(B12)</f>
        <v>3h10min</v>
      </c>
      <c r="D12" s="120"/>
      <c r="E12" s="233"/>
      <c r="F12" s="234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45441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39</v>
      </c>
      <c r="C15" s="151"/>
      <c r="D15" s="80" t="s">
        <v>12</v>
      </c>
      <c r="E15" s="227" t="s">
        <v>13</v>
      </c>
      <c r="F15" s="228"/>
      <c r="G15" s="46"/>
    </row>
    <row r="16" spans="1:7" s="52" customFormat="1" x14ac:dyDescent="0.3">
      <c r="A16" s="48" t="s">
        <v>15</v>
      </c>
      <c r="B16" s="49">
        <v>19</v>
      </c>
      <c r="C16" s="152" t="str">
        <f xml:space="preserve"> IF(B16="","",setValueToTime(B16))</f>
        <v>1h35min</v>
      </c>
      <c r="D16" s="176" t="s">
        <v>128</v>
      </c>
      <c r="E16" s="229"/>
      <c r="F16" s="230"/>
      <c r="G16" s="51"/>
    </row>
    <row r="17" spans="1:7" s="52" customFormat="1" x14ac:dyDescent="0.3">
      <c r="A17" s="53" t="s">
        <v>16</v>
      </c>
      <c r="B17" s="54">
        <v>19</v>
      </c>
      <c r="C17" s="153" t="str">
        <f t="shared" ref="C17:C23" si="1" xml:space="preserve"> IF(B17="","",setValueToTime(B17))</f>
        <v>1h35min</v>
      </c>
      <c r="D17" s="174" t="s">
        <v>128</v>
      </c>
      <c r="E17" s="231"/>
      <c r="F17" s="232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31"/>
      <c r="F18" s="23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31"/>
      <c r="F19" s="23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31"/>
      <c r="F20" s="23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31"/>
      <c r="F21" s="23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1"/>
      <c r="F22" s="23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5"/>
      <c r="F23" s="236"/>
      <c r="G23" s="51"/>
    </row>
    <row r="24" spans="1:7" s="52" customFormat="1" ht="15" thickBot="1" x14ac:dyDescent="0.35">
      <c r="A24" s="111" t="s">
        <v>28</v>
      </c>
      <c r="B24" s="84">
        <f>SUM(B16:B23)</f>
        <v>38</v>
      </c>
      <c r="C24" s="111" t="str">
        <f xml:space="preserve"> setValueToTime(B24)</f>
        <v>3h10min</v>
      </c>
      <c r="D24" s="120"/>
      <c r="E24" s="233"/>
      <c r="F24" s="234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45439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39</v>
      </c>
      <c r="C27" s="151"/>
      <c r="D27" s="80" t="s">
        <v>12</v>
      </c>
      <c r="E27" s="227" t="s">
        <v>13</v>
      </c>
      <c r="F27" s="228"/>
      <c r="G27" s="46"/>
    </row>
    <row r="28" spans="1:7" s="52" customFormat="1" x14ac:dyDescent="0.3">
      <c r="A28" s="48" t="s">
        <v>15</v>
      </c>
      <c r="B28" s="49">
        <v>26</v>
      </c>
      <c r="C28" s="152" t="str">
        <f xml:space="preserve"> IF(B28="","",setValueToTime(B28))</f>
        <v>2h10min</v>
      </c>
      <c r="D28" s="176" t="s">
        <v>130</v>
      </c>
      <c r="E28" s="229"/>
      <c r="F28" s="230"/>
      <c r="G28" s="51"/>
    </row>
    <row r="29" spans="1:7" s="52" customFormat="1" x14ac:dyDescent="0.3">
      <c r="A29" s="54" t="s">
        <v>16</v>
      </c>
      <c r="B29" s="54">
        <v>2</v>
      </c>
      <c r="C29" s="153" t="str">
        <f t="shared" ref="C29:C35" si="2" xml:space="preserve"> IF(B29="","",setValueToTime(B29))</f>
        <v>0h10min</v>
      </c>
      <c r="D29" s="55"/>
      <c r="E29" s="231"/>
      <c r="F29" s="232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31"/>
      <c r="F30" s="23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31"/>
      <c r="F31" s="23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31"/>
      <c r="F32" s="23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31"/>
      <c r="F33" s="23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31"/>
      <c r="F34" s="23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5"/>
      <c r="F35" s="236"/>
      <c r="G35" s="51"/>
    </row>
    <row r="36" spans="1:7" s="52" customFormat="1" ht="15" thickBot="1" x14ac:dyDescent="0.35">
      <c r="A36" s="111" t="s">
        <v>28</v>
      </c>
      <c r="B36" s="84">
        <f>SUM(B28:B35)</f>
        <v>28</v>
      </c>
      <c r="C36" s="111" t="str">
        <f xml:space="preserve"> setValueToTime(B36)</f>
        <v>2h20min</v>
      </c>
      <c r="D36" s="120"/>
      <c r="E36" s="233"/>
      <c r="F36" s="234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45439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39</v>
      </c>
      <c r="C39" s="151"/>
      <c r="D39" s="80" t="s">
        <v>12</v>
      </c>
      <c r="E39" s="227" t="s">
        <v>13</v>
      </c>
      <c r="F39" s="228"/>
      <c r="G39" s="46"/>
    </row>
    <row r="40" spans="1:7" s="52" customFormat="1" ht="27" x14ac:dyDescent="0.3">
      <c r="A40" s="48" t="s">
        <v>75</v>
      </c>
      <c r="B40" s="49">
        <v>10</v>
      </c>
      <c r="C40" s="152" t="str">
        <f xml:space="preserve"> IF(B40="","",setValueToTime(B40))</f>
        <v>0h50min</v>
      </c>
      <c r="D40" s="176" t="s">
        <v>138</v>
      </c>
      <c r="E40" s="229"/>
      <c r="F40" s="230"/>
      <c r="G40" s="51"/>
    </row>
    <row r="41" spans="1:7" s="52" customFormat="1" x14ac:dyDescent="0.3">
      <c r="A41" s="53" t="s">
        <v>15</v>
      </c>
      <c r="B41" s="54">
        <v>36</v>
      </c>
      <c r="C41" s="153" t="str">
        <f t="shared" ref="C41:C47" si="3" xml:space="preserve"> IF(B41="","",setValueToTime(B41))</f>
        <v>3h</v>
      </c>
      <c r="D41" s="174" t="s">
        <v>139</v>
      </c>
      <c r="E41" s="231"/>
      <c r="F41" s="232"/>
      <c r="G41" s="51"/>
    </row>
    <row r="42" spans="1:7" s="52" customFormat="1" x14ac:dyDescent="0.3">
      <c r="A42" s="54" t="s">
        <v>16</v>
      </c>
      <c r="B42" s="54">
        <v>2</v>
      </c>
      <c r="C42" s="153" t="str">
        <f t="shared" si="3"/>
        <v>0h10min</v>
      </c>
      <c r="D42" s="55"/>
      <c r="E42" s="231"/>
      <c r="F42" s="23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31"/>
      <c r="F43" s="23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31"/>
      <c r="F44" s="23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31"/>
      <c r="F45" s="23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31"/>
      <c r="F46" s="23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35"/>
      <c r="F47" s="236"/>
      <c r="G47" s="51"/>
    </row>
    <row r="48" spans="1:7" s="52" customFormat="1" ht="15" thickBot="1" x14ac:dyDescent="0.35">
      <c r="A48" s="111" t="s">
        <v>28</v>
      </c>
      <c r="B48" s="84">
        <f>SUM(B40:B47)</f>
        <v>48</v>
      </c>
      <c r="C48" s="111" t="str">
        <f xml:space="preserve"> setValueToTime(B48)</f>
        <v>4h</v>
      </c>
      <c r="D48" s="120"/>
      <c r="E48" s="233"/>
      <c r="F48" s="234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45436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39</v>
      </c>
      <c r="C51" s="151"/>
      <c r="D51" s="80" t="s">
        <v>12</v>
      </c>
      <c r="E51" s="227" t="s">
        <v>13</v>
      </c>
      <c r="F51" s="228"/>
      <c r="G51" s="46"/>
    </row>
    <row r="52" spans="1:7" s="52" customFormat="1" x14ac:dyDescent="0.3">
      <c r="A52" s="48" t="s">
        <v>74</v>
      </c>
      <c r="B52" s="49">
        <v>19</v>
      </c>
      <c r="C52" s="152" t="str">
        <f xml:space="preserve"> IF(B52="","",setValueToTime(B52))</f>
        <v>1h35min</v>
      </c>
      <c r="D52" s="50"/>
      <c r="E52" s="229"/>
      <c r="F52" s="230"/>
      <c r="G52" s="51"/>
    </row>
    <row r="53" spans="1:7" s="52" customFormat="1" x14ac:dyDescent="0.3">
      <c r="A53" s="53" t="s">
        <v>15</v>
      </c>
      <c r="B53" s="54">
        <v>17</v>
      </c>
      <c r="C53" s="153" t="str">
        <f t="shared" ref="C53:C59" si="4" xml:space="preserve"> IF(B53="","",setValueToTime(B53))</f>
        <v>1h25min</v>
      </c>
      <c r="D53" s="174" t="s">
        <v>137</v>
      </c>
      <c r="E53" s="231"/>
      <c r="F53" s="232"/>
      <c r="G53" s="51"/>
    </row>
    <row r="54" spans="1:7" s="52" customFormat="1" x14ac:dyDescent="0.3">
      <c r="A54" s="54" t="s">
        <v>16</v>
      </c>
      <c r="B54" s="54">
        <v>2</v>
      </c>
      <c r="C54" s="153" t="str">
        <f t="shared" si="4"/>
        <v>0h10min</v>
      </c>
      <c r="D54" s="55"/>
      <c r="E54" s="231"/>
      <c r="F54" s="232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31"/>
      <c r="F55" s="23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31"/>
      <c r="F56" s="23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31"/>
      <c r="F57" s="23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31"/>
      <c r="F58" s="23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35"/>
      <c r="F59" s="236"/>
      <c r="G59" s="51"/>
    </row>
    <row r="60" spans="1:7" s="52" customFormat="1" ht="15" thickBot="1" x14ac:dyDescent="0.35">
      <c r="A60" s="111" t="s">
        <v>28</v>
      </c>
      <c r="B60" s="84">
        <f>SUM(B52:B59)</f>
        <v>38</v>
      </c>
      <c r="C60" s="111" t="str">
        <f xml:space="preserve"> setValueToTime(B60)</f>
        <v>3h10min</v>
      </c>
      <c r="D60" s="120"/>
      <c r="E60" s="233"/>
      <c r="F60" s="234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45436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39</v>
      </c>
      <c r="C63" s="151"/>
      <c r="D63" s="80" t="s">
        <v>12</v>
      </c>
      <c r="E63" s="227" t="s">
        <v>13</v>
      </c>
      <c r="F63" s="228"/>
      <c r="G63" s="46"/>
    </row>
    <row r="64" spans="1:7" s="52" customFormat="1" x14ac:dyDescent="0.3">
      <c r="A64" s="48" t="s">
        <v>72</v>
      </c>
      <c r="B64" s="49">
        <v>10</v>
      </c>
      <c r="C64" s="152" t="str">
        <f xml:space="preserve"> IF(B64="","",setValueToTime(B64))</f>
        <v>0h50min</v>
      </c>
      <c r="D64" s="50"/>
      <c r="E64" s="229"/>
      <c r="F64" s="230"/>
      <c r="G64" s="51"/>
    </row>
    <row r="65" spans="1:7" s="52" customFormat="1" x14ac:dyDescent="0.3">
      <c r="A65" s="53" t="s">
        <v>73</v>
      </c>
      <c r="B65" s="54">
        <v>5</v>
      </c>
      <c r="C65" s="153" t="str">
        <f t="shared" ref="C65:C71" si="5" xml:space="preserve"> IF(B65="","",setValueToTime(B65))</f>
        <v>0h25min</v>
      </c>
      <c r="D65" s="55"/>
      <c r="E65" s="231"/>
      <c r="F65" s="232"/>
      <c r="G65" s="51"/>
    </row>
    <row r="66" spans="1:7" s="52" customFormat="1" x14ac:dyDescent="0.3">
      <c r="A66" s="53" t="s">
        <v>15</v>
      </c>
      <c r="B66" s="54">
        <v>10</v>
      </c>
      <c r="C66" s="153" t="str">
        <f t="shared" si="5"/>
        <v>0h50min</v>
      </c>
      <c r="D66" s="174" t="s">
        <v>136</v>
      </c>
      <c r="E66" s="231"/>
      <c r="F66" s="232"/>
      <c r="G66" s="51"/>
    </row>
    <row r="67" spans="1:7" s="52" customFormat="1" x14ac:dyDescent="0.3">
      <c r="A67" s="53" t="s">
        <v>74</v>
      </c>
      <c r="B67" s="54">
        <v>21</v>
      </c>
      <c r="C67" s="153" t="str">
        <f t="shared" si="5"/>
        <v>1h45min</v>
      </c>
      <c r="D67" s="55"/>
      <c r="E67" s="231"/>
      <c r="F67" s="232"/>
      <c r="G67" s="51"/>
    </row>
    <row r="68" spans="1:7" s="52" customFormat="1" x14ac:dyDescent="0.3">
      <c r="A68" s="54" t="s">
        <v>16</v>
      </c>
      <c r="B68" s="54">
        <v>2</v>
      </c>
      <c r="C68" s="154" t="str">
        <f t="shared" si="5"/>
        <v>0h10min</v>
      </c>
      <c r="D68" s="55"/>
      <c r="E68" s="231"/>
      <c r="F68" s="23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31"/>
      <c r="F69" s="23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31"/>
      <c r="F70" s="23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35"/>
      <c r="F71" s="236"/>
      <c r="G71" s="51"/>
    </row>
    <row r="72" spans="1:7" s="52" customFormat="1" ht="15" thickBot="1" x14ac:dyDescent="0.35">
      <c r="A72" s="111" t="s">
        <v>28</v>
      </c>
      <c r="B72" s="84">
        <f>SUM(B64:B71)</f>
        <v>48</v>
      </c>
      <c r="C72" s="111" t="str">
        <f xml:space="preserve"> setValueToTime(B72)</f>
        <v>4h</v>
      </c>
      <c r="D72" s="120"/>
      <c r="E72" s="233"/>
      <c r="F72" s="234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45435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39</v>
      </c>
      <c r="C75" s="151"/>
      <c r="D75" s="80" t="s">
        <v>12</v>
      </c>
      <c r="E75" s="227" t="s">
        <v>13</v>
      </c>
      <c r="F75" s="228"/>
      <c r="G75" s="46"/>
    </row>
    <row r="76" spans="1:7" s="52" customFormat="1" x14ac:dyDescent="0.3">
      <c r="A76" s="48" t="s">
        <v>71</v>
      </c>
      <c r="B76" s="49">
        <v>17</v>
      </c>
      <c r="C76" s="152" t="str">
        <f xml:space="preserve"> IF(B76="","",setValueToTime(B76))</f>
        <v>1h25min</v>
      </c>
      <c r="D76" s="50"/>
      <c r="E76" s="229"/>
      <c r="F76" s="230"/>
      <c r="G76" s="51"/>
    </row>
    <row r="77" spans="1:7" s="52" customFormat="1" x14ac:dyDescent="0.3">
      <c r="A77" s="53" t="s">
        <v>15</v>
      </c>
      <c r="B77" s="54">
        <v>19</v>
      </c>
      <c r="C77" s="153" t="str">
        <f t="shared" ref="C77:C83" si="6" xml:space="preserve"> IF(B77="","",setValueToTime(B77))</f>
        <v>1h35min</v>
      </c>
      <c r="D77" s="174" t="s">
        <v>135</v>
      </c>
      <c r="E77" s="231"/>
      <c r="F77" s="232"/>
      <c r="G77" s="51"/>
    </row>
    <row r="78" spans="1:7" s="52" customFormat="1" x14ac:dyDescent="0.3">
      <c r="A78" s="53" t="s">
        <v>16</v>
      </c>
      <c r="B78" s="54">
        <v>2</v>
      </c>
      <c r="C78" s="153" t="str">
        <f t="shared" si="6"/>
        <v>0h10min</v>
      </c>
      <c r="D78" s="55"/>
      <c r="E78" s="231"/>
      <c r="F78" s="232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31"/>
      <c r="F79" s="232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31"/>
      <c r="F80" s="232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31"/>
      <c r="F81" s="23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31"/>
      <c r="F82" s="23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35"/>
      <c r="F83" s="236"/>
      <c r="G83" s="51"/>
    </row>
    <row r="84" spans="1:7" s="52" customFormat="1" ht="15" thickBot="1" x14ac:dyDescent="0.35">
      <c r="A84" s="111" t="s">
        <v>28</v>
      </c>
      <c r="B84" s="84">
        <f>SUM(B76:B83)</f>
        <v>38</v>
      </c>
      <c r="C84" s="111" t="str">
        <f xml:space="preserve"> setValueToTime(B84)</f>
        <v>3h10min</v>
      </c>
      <c r="D84" s="120"/>
      <c r="E84" s="233"/>
      <c r="F84" s="234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45434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39</v>
      </c>
      <c r="C87" s="151"/>
      <c r="D87" s="80" t="s">
        <v>12</v>
      </c>
      <c r="E87" s="227" t="s">
        <v>13</v>
      </c>
      <c r="F87" s="228"/>
      <c r="G87" s="46"/>
    </row>
    <row r="88" spans="1:7" s="52" customFormat="1" x14ac:dyDescent="0.3">
      <c r="A88" s="48" t="s">
        <v>129</v>
      </c>
      <c r="B88" s="49">
        <v>19</v>
      </c>
      <c r="C88" s="152" t="str">
        <f xml:space="preserve"> IF(B88="","",setValueToTime(B88))</f>
        <v>1h35min</v>
      </c>
      <c r="D88" s="176" t="s">
        <v>133</v>
      </c>
      <c r="E88" s="229"/>
      <c r="F88" s="230"/>
      <c r="G88" s="51"/>
    </row>
    <row r="89" spans="1:7" s="52" customFormat="1" x14ac:dyDescent="0.3">
      <c r="A89" s="53" t="s">
        <v>15</v>
      </c>
      <c r="B89" s="54">
        <v>17</v>
      </c>
      <c r="C89" s="153" t="str">
        <f t="shared" ref="C89:C95" si="7" xml:space="preserve"> IF(B89="","",setValueToTime(B89))</f>
        <v>1h25min</v>
      </c>
      <c r="D89" s="174" t="s">
        <v>134</v>
      </c>
      <c r="E89" s="231"/>
      <c r="F89" s="232"/>
      <c r="G89" s="51"/>
    </row>
    <row r="90" spans="1:7" s="52" customFormat="1" x14ac:dyDescent="0.3">
      <c r="A90" s="53" t="s">
        <v>16</v>
      </c>
      <c r="B90" s="54">
        <v>2</v>
      </c>
      <c r="C90" s="153" t="str">
        <f t="shared" si="7"/>
        <v>0h10min</v>
      </c>
      <c r="D90" s="55"/>
      <c r="E90" s="231"/>
      <c r="F90" s="232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31"/>
      <c r="F91" s="232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31"/>
      <c r="F92" s="232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31"/>
      <c r="F93" s="232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31"/>
      <c r="F94" s="232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35"/>
      <c r="F95" s="236"/>
      <c r="G95" s="51"/>
    </row>
    <row r="96" spans="1:7" s="52" customFormat="1" ht="15" thickBot="1" x14ac:dyDescent="0.35">
      <c r="A96" s="111" t="s">
        <v>28</v>
      </c>
      <c r="B96" s="84">
        <f>SUM(B88:B95)</f>
        <v>38</v>
      </c>
      <c r="C96" s="111" t="str">
        <f xml:space="preserve"> setValueToTime(B96)</f>
        <v>3h10min</v>
      </c>
      <c r="D96" s="120"/>
      <c r="E96" s="233"/>
      <c r="F96" s="234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45434</v>
      </c>
      <c r="F98" s="126"/>
      <c r="G98" s="46"/>
    </row>
    <row r="99" spans="1:7" s="47" customFormat="1" ht="30" customHeight="1" thickBot="1" x14ac:dyDescent="0.3">
      <c r="A99" s="80" t="s">
        <v>5</v>
      </c>
      <c r="B99" s="150" t="s">
        <v>39</v>
      </c>
      <c r="C99" s="151"/>
      <c r="D99" s="80" t="s">
        <v>12</v>
      </c>
      <c r="E99" s="227" t="s">
        <v>13</v>
      </c>
      <c r="F99" s="228"/>
      <c r="G99" s="46"/>
    </row>
    <row r="100" spans="1:7" s="52" customFormat="1" x14ac:dyDescent="0.3">
      <c r="A100" s="48" t="s">
        <v>129</v>
      </c>
      <c r="B100" s="49">
        <v>36</v>
      </c>
      <c r="C100" s="152" t="str">
        <f xml:space="preserve"> IF(B100="","",setValueToTime(B100))</f>
        <v>3h</v>
      </c>
      <c r="D100" s="50"/>
      <c r="E100" s="229"/>
      <c r="F100" s="230"/>
      <c r="G100" s="51"/>
    </row>
    <row r="101" spans="1:7" s="52" customFormat="1" x14ac:dyDescent="0.3">
      <c r="A101" s="53" t="s">
        <v>16</v>
      </c>
      <c r="B101" s="54">
        <v>2</v>
      </c>
      <c r="C101" s="153" t="str">
        <f t="shared" ref="C101:C107" si="8" xml:space="preserve"> IF(B101="","",setValueToTime(B101))</f>
        <v>0h10min</v>
      </c>
      <c r="D101" s="55"/>
      <c r="E101" s="231"/>
      <c r="F101" s="232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31"/>
      <c r="F102" s="232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31"/>
      <c r="F103" s="232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31"/>
      <c r="F104" s="232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31"/>
      <c r="F105" s="232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31"/>
      <c r="F106" s="232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35"/>
      <c r="F107" s="236"/>
      <c r="G107" s="51"/>
    </row>
    <row r="108" spans="1:7" s="52" customFormat="1" ht="15" thickBot="1" x14ac:dyDescent="0.35">
      <c r="A108" s="111" t="s">
        <v>28</v>
      </c>
      <c r="B108" s="84">
        <f>SUM(B100:B107)</f>
        <v>38</v>
      </c>
      <c r="C108" s="111" t="str">
        <f xml:space="preserve"> setValueToTime(B108)</f>
        <v>3h10min</v>
      </c>
      <c r="D108" s="120"/>
      <c r="E108" s="233"/>
      <c r="F108" s="234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45429</v>
      </c>
      <c r="F110" s="126"/>
      <c r="G110" s="46"/>
    </row>
    <row r="111" spans="1:7" s="47" customFormat="1" ht="30" customHeight="1" thickBot="1" x14ac:dyDescent="0.3">
      <c r="A111" s="80" t="s">
        <v>5</v>
      </c>
      <c r="B111" s="150" t="s">
        <v>39</v>
      </c>
      <c r="C111" s="151"/>
      <c r="D111" s="80" t="s">
        <v>12</v>
      </c>
      <c r="E111" s="227" t="s">
        <v>13</v>
      </c>
      <c r="F111" s="228"/>
      <c r="G111" s="46"/>
    </row>
    <row r="112" spans="1:7" s="52" customFormat="1" x14ac:dyDescent="0.3">
      <c r="A112" s="48" t="s">
        <v>70</v>
      </c>
      <c r="B112" s="49">
        <v>32</v>
      </c>
      <c r="C112" s="152" t="str">
        <f xml:space="preserve"> IF(B112="","",setValueToTime(B112))</f>
        <v>2h40min</v>
      </c>
      <c r="D112" s="50"/>
      <c r="E112" s="229"/>
      <c r="F112" s="230"/>
      <c r="G112" s="51"/>
    </row>
    <row r="113" spans="1:7" s="52" customFormat="1" x14ac:dyDescent="0.3">
      <c r="A113" s="53" t="s">
        <v>15</v>
      </c>
      <c r="B113" s="54">
        <v>4</v>
      </c>
      <c r="C113" s="153" t="str">
        <f t="shared" ref="C113:C119" si="9" xml:space="preserve"> IF(B113="","",setValueToTime(B113))</f>
        <v>0h20min</v>
      </c>
      <c r="D113" s="174" t="s">
        <v>132</v>
      </c>
      <c r="E113" s="231"/>
      <c r="F113" s="232"/>
      <c r="G113" s="51"/>
    </row>
    <row r="114" spans="1:7" s="52" customFormat="1" x14ac:dyDescent="0.3">
      <c r="A114" s="53" t="s">
        <v>16</v>
      </c>
      <c r="B114" s="54">
        <v>2</v>
      </c>
      <c r="C114" s="153" t="str">
        <f t="shared" si="9"/>
        <v>0h10min</v>
      </c>
      <c r="D114" s="55"/>
      <c r="E114" s="231"/>
      <c r="F114" s="232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31"/>
      <c r="F115" s="232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31"/>
      <c r="F116" s="232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31"/>
      <c r="F117" s="232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31"/>
      <c r="F118" s="232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35"/>
      <c r="F119" s="236"/>
      <c r="G119" s="51"/>
    </row>
    <row r="120" spans="1:7" s="52" customFormat="1" ht="15" thickBot="1" x14ac:dyDescent="0.35">
      <c r="A120" s="111" t="s">
        <v>28</v>
      </c>
      <c r="B120" s="84">
        <f>SUM(B112:B119)</f>
        <v>38</v>
      </c>
      <c r="C120" s="111" t="str">
        <f xml:space="preserve"> setValueToTime(B120)</f>
        <v>3h10min</v>
      </c>
      <c r="D120" s="120"/>
      <c r="E120" s="233"/>
      <c r="F120" s="234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45429</v>
      </c>
      <c r="F122" s="126"/>
      <c r="G122" s="46"/>
    </row>
    <row r="123" spans="1:7" s="47" customFormat="1" ht="30" customHeight="1" thickBot="1" x14ac:dyDescent="0.3">
      <c r="A123" s="80" t="s">
        <v>5</v>
      </c>
      <c r="B123" s="150" t="s">
        <v>39</v>
      </c>
      <c r="C123" s="151"/>
      <c r="D123" s="80" t="s">
        <v>12</v>
      </c>
      <c r="E123" s="227" t="s">
        <v>13</v>
      </c>
      <c r="F123" s="228"/>
      <c r="G123" s="46"/>
    </row>
    <row r="124" spans="1:7" s="52" customFormat="1" x14ac:dyDescent="0.3">
      <c r="A124" s="48" t="s">
        <v>70</v>
      </c>
      <c r="B124" s="49">
        <v>46</v>
      </c>
      <c r="C124" s="152" t="str">
        <f xml:space="preserve"> IF(B124="","",setValueToTime(B124))</f>
        <v>3h50min</v>
      </c>
      <c r="D124" s="50"/>
      <c r="E124" s="229"/>
      <c r="F124" s="230"/>
      <c r="G124" s="51"/>
    </row>
    <row r="125" spans="1:7" s="52" customFormat="1" x14ac:dyDescent="0.3">
      <c r="A125" s="53" t="s">
        <v>16</v>
      </c>
      <c r="B125" s="54">
        <v>2</v>
      </c>
      <c r="C125" s="153" t="str">
        <f t="shared" ref="C125:C131" si="10" xml:space="preserve"> IF(B125="","",setValueToTime(B125))</f>
        <v>0h10min</v>
      </c>
      <c r="D125" s="55"/>
      <c r="E125" s="231"/>
      <c r="F125" s="232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31"/>
      <c r="F126" s="232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31"/>
      <c r="F127" s="232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31"/>
      <c r="F128" s="232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31"/>
      <c r="F129" s="232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31"/>
      <c r="F130" s="232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35"/>
      <c r="F131" s="236"/>
      <c r="G131" s="51"/>
    </row>
    <row r="132" spans="1:7" s="52" customFormat="1" ht="15" thickBot="1" x14ac:dyDescent="0.35">
      <c r="A132" s="111" t="s">
        <v>28</v>
      </c>
      <c r="B132" s="84">
        <f>SUM(B124:B131)</f>
        <v>48</v>
      </c>
      <c r="C132" s="111" t="str">
        <f xml:space="preserve"> setValueToTime(B132)</f>
        <v>4h</v>
      </c>
      <c r="D132" s="120"/>
      <c r="E132" s="233"/>
      <c r="F132" s="234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45428</v>
      </c>
      <c r="F134" s="126"/>
      <c r="G134" s="46"/>
    </row>
    <row r="135" spans="1:7" s="47" customFormat="1" ht="30" customHeight="1" thickBot="1" x14ac:dyDescent="0.3">
      <c r="A135" s="80" t="s">
        <v>5</v>
      </c>
      <c r="B135" s="150" t="s">
        <v>39</v>
      </c>
      <c r="C135" s="151"/>
      <c r="D135" s="80" t="s">
        <v>12</v>
      </c>
      <c r="E135" s="227" t="s">
        <v>13</v>
      </c>
      <c r="F135" s="228"/>
      <c r="G135" s="46"/>
    </row>
    <row r="136" spans="1:7" s="52" customFormat="1" x14ac:dyDescent="0.3">
      <c r="A136" s="48" t="s">
        <v>70</v>
      </c>
      <c r="B136" s="49">
        <v>36</v>
      </c>
      <c r="C136" s="152" t="str">
        <f xml:space="preserve"> IF(B136="","",setValueToTime(B136))</f>
        <v>3h</v>
      </c>
      <c r="D136" s="50"/>
      <c r="E136" s="229"/>
      <c r="F136" s="230"/>
      <c r="G136" s="51"/>
    </row>
    <row r="137" spans="1:7" s="52" customFormat="1" x14ac:dyDescent="0.3">
      <c r="A137" s="53" t="s">
        <v>16</v>
      </c>
      <c r="B137" s="54">
        <v>2</v>
      </c>
      <c r="C137" s="153" t="str">
        <f t="shared" ref="C137:C143" si="11" xml:space="preserve"> IF(B137="","",setValueToTime(B137))</f>
        <v>0h10min</v>
      </c>
      <c r="D137" s="55"/>
      <c r="E137" s="231"/>
      <c r="F137" s="232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31"/>
      <c r="F138" s="232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31"/>
      <c r="F139" s="232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31"/>
      <c r="F140" s="232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31"/>
      <c r="F141" s="232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31"/>
      <c r="F142" s="232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35"/>
      <c r="F143" s="236"/>
      <c r="G143" s="51"/>
    </row>
    <row r="144" spans="1:7" s="52" customFormat="1" ht="15" thickBot="1" x14ac:dyDescent="0.35">
      <c r="A144" s="111" t="s">
        <v>28</v>
      </c>
      <c r="B144" s="84">
        <f>SUM(B136:B143)</f>
        <v>38</v>
      </c>
      <c r="C144" s="111" t="str">
        <f xml:space="preserve"> setValueToTime(B144)</f>
        <v>3h10min</v>
      </c>
      <c r="D144" s="120"/>
      <c r="E144" s="233"/>
      <c r="F144" s="234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45427</v>
      </c>
      <c r="F146" s="126"/>
      <c r="G146" s="46"/>
    </row>
    <row r="147" spans="1:7" s="47" customFormat="1" ht="30" customHeight="1" thickBot="1" x14ac:dyDescent="0.3">
      <c r="A147" s="80" t="s">
        <v>5</v>
      </c>
      <c r="B147" s="150" t="s">
        <v>39</v>
      </c>
      <c r="C147" s="151"/>
      <c r="D147" s="80" t="s">
        <v>12</v>
      </c>
      <c r="E147" s="227" t="s">
        <v>13</v>
      </c>
      <c r="F147" s="228"/>
      <c r="G147" s="46"/>
    </row>
    <row r="148" spans="1:7" s="52" customFormat="1" ht="27" x14ac:dyDescent="0.3">
      <c r="A148" s="190" t="s">
        <v>69</v>
      </c>
      <c r="B148" s="49">
        <v>18</v>
      </c>
      <c r="C148" s="152" t="str">
        <f xml:space="preserve"> IF(B148="","",setValueToTime(B148))</f>
        <v>1h30min</v>
      </c>
      <c r="D148" s="50"/>
      <c r="E148" s="229"/>
      <c r="F148" s="230"/>
      <c r="G148" s="51"/>
    </row>
    <row r="149" spans="1:7" s="52" customFormat="1" x14ac:dyDescent="0.3">
      <c r="A149" s="53" t="s">
        <v>15</v>
      </c>
      <c r="B149" s="54">
        <v>18</v>
      </c>
      <c r="C149" s="153" t="str">
        <f t="shared" ref="C149:C155" si="12" xml:space="preserve"> IF(B149="","",setValueToTime(B149))</f>
        <v>1h30min</v>
      </c>
      <c r="D149" s="174" t="s">
        <v>131</v>
      </c>
      <c r="E149" s="231"/>
      <c r="F149" s="232"/>
      <c r="G149" s="51"/>
    </row>
    <row r="150" spans="1:7" s="52" customFormat="1" x14ac:dyDescent="0.3">
      <c r="A150" s="53" t="s">
        <v>16</v>
      </c>
      <c r="B150" s="54">
        <v>2</v>
      </c>
      <c r="C150" s="153" t="str">
        <f t="shared" si="12"/>
        <v>0h10min</v>
      </c>
      <c r="D150" s="55"/>
      <c r="E150" s="231"/>
      <c r="F150" s="232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31"/>
      <c r="F151" s="232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31"/>
      <c r="F152" s="232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31"/>
      <c r="F153" s="232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31"/>
      <c r="F154" s="232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35"/>
      <c r="F155" s="236"/>
      <c r="G155" s="51"/>
    </row>
    <row r="156" spans="1:7" s="52" customFormat="1" ht="15" thickBot="1" x14ac:dyDescent="0.35">
      <c r="A156" s="111" t="s">
        <v>28</v>
      </c>
      <c r="B156" s="84">
        <f>SUM(B148:B155)</f>
        <v>38</v>
      </c>
      <c r="C156" s="111" t="str">
        <f xml:space="preserve"> setValueToTime(B156)</f>
        <v>3h10min</v>
      </c>
      <c r="D156" s="120"/>
      <c r="E156" s="233"/>
      <c r="F156" s="234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45427</v>
      </c>
      <c r="F158" s="126"/>
      <c r="G158" s="46"/>
    </row>
    <row r="159" spans="1:7" s="47" customFormat="1" ht="30" customHeight="1" thickBot="1" x14ac:dyDescent="0.3">
      <c r="A159" s="80" t="s">
        <v>5</v>
      </c>
      <c r="B159" s="150" t="s">
        <v>39</v>
      </c>
      <c r="C159" s="151"/>
      <c r="D159" s="80" t="s">
        <v>12</v>
      </c>
      <c r="E159" s="227" t="s">
        <v>13</v>
      </c>
      <c r="F159" s="228"/>
      <c r="G159" s="46"/>
    </row>
    <row r="160" spans="1:7" s="52" customFormat="1" ht="27" x14ac:dyDescent="0.3">
      <c r="A160" s="190" t="s">
        <v>69</v>
      </c>
      <c r="B160" s="49">
        <v>36</v>
      </c>
      <c r="C160" s="152" t="str">
        <f xml:space="preserve"> IF(B160="","",setValueToTime(B160))</f>
        <v>3h</v>
      </c>
      <c r="D160" s="50"/>
      <c r="E160" s="229"/>
      <c r="F160" s="230"/>
      <c r="G160" s="51"/>
    </row>
    <row r="161" spans="1:7" s="52" customFormat="1" x14ac:dyDescent="0.3">
      <c r="A161" s="53" t="s">
        <v>16</v>
      </c>
      <c r="B161" s="54">
        <v>2</v>
      </c>
      <c r="C161" s="153" t="str">
        <f t="shared" ref="C161:C167" si="13" xml:space="preserve"> IF(B161="","",setValueToTime(B161))</f>
        <v>0h10min</v>
      </c>
      <c r="D161" s="55"/>
      <c r="E161" s="231"/>
      <c r="F161" s="232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31"/>
      <c r="F162" s="232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31"/>
      <c r="F163" s="232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31"/>
      <c r="F164" s="232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31"/>
      <c r="F165" s="232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31"/>
      <c r="F166" s="232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35"/>
      <c r="F167" s="236"/>
      <c r="G167" s="51"/>
    </row>
    <row r="168" spans="1:7" s="52" customFormat="1" ht="15" thickBot="1" x14ac:dyDescent="0.35">
      <c r="A168" s="111" t="s">
        <v>28</v>
      </c>
      <c r="B168" s="84">
        <f>SUM(B160:B167)</f>
        <v>38</v>
      </c>
      <c r="C168" s="111" t="str">
        <f xml:space="preserve"> setValueToTime(B168)</f>
        <v>3h10min</v>
      </c>
      <c r="D168" s="120"/>
      <c r="E168" s="233"/>
      <c r="F168" s="234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45425</v>
      </c>
      <c r="F170" s="126"/>
      <c r="G170" s="46"/>
    </row>
    <row r="171" spans="1:7" s="47" customFormat="1" ht="30" customHeight="1" thickBot="1" x14ac:dyDescent="0.3">
      <c r="A171" s="80" t="s">
        <v>5</v>
      </c>
      <c r="B171" s="150" t="s">
        <v>39</v>
      </c>
      <c r="C171" s="151"/>
      <c r="D171" s="80" t="s">
        <v>12</v>
      </c>
      <c r="E171" s="227" t="s">
        <v>13</v>
      </c>
      <c r="F171" s="228"/>
      <c r="G171" s="46"/>
    </row>
    <row r="172" spans="1:7" s="52" customFormat="1" ht="27" x14ac:dyDescent="0.3">
      <c r="A172" s="53" t="s">
        <v>69</v>
      </c>
      <c r="B172" s="49">
        <v>26</v>
      </c>
      <c r="C172" s="152" t="str">
        <f xml:space="preserve"> IF(B172="","",setValueToTime(B172))</f>
        <v>2h10min</v>
      </c>
      <c r="D172" s="50"/>
      <c r="E172" s="229"/>
      <c r="F172" s="230"/>
      <c r="G172" s="51"/>
    </row>
    <row r="173" spans="1:7" s="52" customFormat="1" x14ac:dyDescent="0.3">
      <c r="A173" s="53" t="s">
        <v>16</v>
      </c>
      <c r="B173" s="54">
        <v>2</v>
      </c>
      <c r="C173" s="153" t="str">
        <f t="shared" ref="C173:C179" si="14" xml:space="preserve"> IF(B173="","",setValueToTime(B173))</f>
        <v>0h10min</v>
      </c>
      <c r="D173" s="55"/>
      <c r="E173" s="231"/>
      <c r="F173" s="232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31"/>
      <c r="F174" s="232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31"/>
      <c r="F175" s="232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31"/>
      <c r="F176" s="232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31"/>
      <c r="F177" s="232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31"/>
      <c r="F178" s="232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35"/>
      <c r="F179" s="236"/>
      <c r="G179" s="51"/>
    </row>
    <row r="180" spans="1:7" s="52" customFormat="1" ht="15" thickBot="1" x14ac:dyDescent="0.35">
      <c r="A180" s="111" t="s">
        <v>28</v>
      </c>
      <c r="B180" s="84">
        <f>SUM(B172:B179)</f>
        <v>28</v>
      </c>
      <c r="C180" s="111" t="str">
        <f xml:space="preserve"> setValueToTime(B180)</f>
        <v>2h20min</v>
      </c>
      <c r="D180" s="120"/>
      <c r="E180" s="233"/>
      <c r="F180" s="234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45425</v>
      </c>
      <c r="F182" s="126"/>
      <c r="G182" s="46"/>
    </row>
    <row r="183" spans="1:7" s="47" customFormat="1" ht="30" customHeight="1" thickBot="1" x14ac:dyDescent="0.3">
      <c r="A183" s="80" t="s">
        <v>5</v>
      </c>
      <c r="B183" s="150" t="s">
        <v>39</v>
      </c>
      <c r="C183" s="151"/>
      <c r="D183" s="80" t="s">
        <v>12</v>
      </c>
      <c r="E183" s="227" t="s">
        <v>13</v>
      </c>
      <c r="F183" s="228"/>
      <c r="G183" s="46"/>
    </row>
    <row r="184" spans="1:7" s="52" customFormat="1" ht="27" x14ac:dyDescent="0.3">
      <c r="A184" s="53" t="s">
        <v>69</v>
      </c>
      <c r="B184" s="54">
        <v>35</v>
      </c>
      <c r="C184" s="152" t="str">
        <f xml:space="preserve"> IF(B184="","",setValueToTime(B184))</f>
        <v>2h55min</v>
      </c>
      <c r="D184" s="50"/>
      <c r="E184" s="229"/>
      <c r="F184" s="230"/>
      <c r="G184" s="51"/>
    </row>
    <row r="185" spans="1:7" s="52" customFormat="1" x14ac:dyDescent="0.3">
      <c r="A185" s="53" t="s">
        <v>15</v>
      </c>
      <c r="B185" s="54">
        <v>11</v>
      </c>
      <c r="C185" s="153" t="str">
        <f t="shared" ref="C185:C191" si="15" xml:space="preserve"> IF(B185="","",setValueToTime(B185))</f>
        <v>0h55min</v>
      </c>
      <c r="D185" s="174" t="s">
        <v>126</v>
      </c>
      <c r="E185" s="231"/>
      <c r="F185" s="232"/>
      <c r="G185" s="51"/>
    </row>
    <row r="186" spans="1:7" s="52" customFormat="1" x14ac:dyDescent="0.3">
      <c r="A186" s="53" t="s">
        <v>16</v>
      </c>
      <c r="B186" s="54">
        <v>2</v>
      </c>
      <c r="C186" s="153" t="str">
        <f t="shared" si="15"/>
        <v>0h10min</v>
      </c>
      <c r="D186" s="55"/>
      <c r="E186" s="231"/>
      <c r="F186" s="232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31"/>
      <c r="F187" s="232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31"/>
      <c r="F188" s="232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31"/>
      <c r="F189" s="232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31"/>
      <c r="F190" s="232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35"/>
      <c r="F191" s="236"/>
      <c r="G191" s="51"/>
    </row>
    <row r="192" spans="1:7" s="52" customFormat="1" ht="15" thickBot="1" x14ac:dyDescent="0.35">
      <c r="A192" s="111" t="s">
        <v>28</v>
      </c>
      <c r="B192" s="84">
        <f>SUM(B184:B191)</f>
        <v>48</v>
      </c>
      <c r="C192" s="111" t="str">
        <f xml:space="preserve"> setValueToTime(B192)</f>
        <v>4h</v>
      </c>
      <c r="D192" s="120"/>
      <c r="E192" s="233"/>
      <c r="F192" s="234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45420</v>
      </c>
      <c r="F194" s="126"/>
      <c r="G194" s="46"/>
    </row>
    <row r="195" spans="1:7" s="47" customFormat="1" ht="30" customHeight="1" thickBot="1" x14ac:dyDescent="0.3">
      <c r="A195" s="80" t="s">
        <v>5</v>
      </c>
      <c r="B195" s="150" t="s">
        <v>39</v>
      </c>
      <c r="C195" s="151"/>
      <c r="D195" s="80" t="s">
        <v>12</v>
      </c>
      <c r="E195" s="227" t="s">
        <v>13</v>
      </c>
      <c r="F195" s="228"/>
      <c r="G195" s="46"/>
    </row>
    <row r="196" spans="1:7" s="52" customFormat="1" x14ac:dyDescent="0.3">
      <c r="A196" s="53" t="s">
        <v>68</v>
      </c>
      <c r="B196" s="54">
        <v>30</v>
      </c>
      <c r="C196" s="152" t="str">
        <f xml:space="preserve"> IF(B196="","",setValueToTime(B196))</f>
        <v>2h30min</v>
      </c>
      <c r="D196" s="176" t="s">
        <v>142</v>
      </c>
      <c r="E196" s="229"/>
      <c r="F196" s="230"/>
      <c r="G196" s="51"/>
    </row>
    <row r="197" spans="1:7" s="52" customFormat="1" x14ac:dyDescent="0.3">
      <c r="A197" s="53" t="s">
        <v>15</v>
      </c>
      <c r="B197" s="54">
        <v>6</v>
      </c>
      <c r="C197" s="153" t="str">
        <f t="shared" ref="C197:C203" si="16" xml:space="preserve"> IF(B197="","",setValueToTime(B197))</f>
        <v>0h30min</v>
      </c>
      <c r="D197" s="55"/>
      <c r="E197" s="231"/>
      <c r="F197" s="232"/>
      <c r="G197" s="51"/>
    </row>
    <row r="198" spans="1:7" s="52" customFormat="1" x14ac:dyDescent="0.3">
      <c r="A198" s="53" t="s">
        <v>16</v>
      </c>
      <c r="B198" s="54">
        <v>2</v>
      </c>
      <c r="C198" s="153" t="str">
        <f t="shared" si="16"/>
        <v>0h10min</v>
      </c>
      <c r="D198" s="55"/>
      <c r="E198" s="231"/>
      <c r="F198" s="232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31"/>
      <c r="F199" s="232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31"/>
      <c r="F200" s="232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31"/>
      <c r="F201" s="232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31"/>
      <c r="F202" s="232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35"/>
      <c r="F203" s="236"/>
      <c r="G203" s="51"/>
    </row>
    <row r="204" spans="1:7" s="52" customFormat="1" ht="15" thickBot="1" x14ac:dyDescent="0.35">
      <c r="A204" s="111" t="s">
        <v>28</v>
      </c>
      <c r="B204" s="84">
        <f>SUM(B196:B203)</f>
        <v>38</v>
      </c>
      <c r="C204" s="111" t="str">
        <f xml:space="preserve"> setValueToTime(B204)</f>
        <v>3h10min</v>
      </c>
      <c r="D204" s="120"/>
      <c r="E204" s="233"/>
      <c r="F204" s="234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45420</v>
      </c>
      <c r="F206" s="126"/>
      <c r="G206" s="46"/>
    </row>
    <row r="207" spans="1:7" s="47" customFormat="1" ht="30" customHeight="1" thickBot="1" x14ac:dyDescent="0.3">
      <c r="A207" s="80" t="s">
        <v>5</v>
      </c>
      <c r="B207" s="150" t="s">
        <v>39</v>
      </c>
      <c r="C207" s="151"/>
      <c r="D207" s="80" t="s">
        <v>12</v>
      </c>
      <c r="E207" s="227" t="s">
        <v>13</v>
      </c>
      <c r="F207" s="228"/>
      <c r="G207" s="46"/>
    </row>
    <row r="208" spans="1:7" s="52" customFormat="1" x14ac:dyDescent="0.3">
      <c r="A208" s="53" t="s">
        <v>66</v>
      </c>
      <c r="B208" s="54">
        <v>24</v>
      </c>
      <c r="C208" s="152" t="str">
        <f xml:space="preserve"> IF(B208="","",setValueToTime(B208))</f>
        <v>2h</v>
      </c>
      <c r="D208" s="174"/>
      <c r="E208" s="229"/>
      <c r="F208" s="230"/>
      <c r="G208" s="51"/>
    </row>
    <row r="209" spans="1:7" s="52" customFormat="1" x14ac:dyDescent="0.3">
      <c r="A209" s="53" t="s">
        <v>15</v>
      </c>
      <c r="B209" s="54">
        <v>5</v>
      </c>
      <c r="C209" s="153" t="str">
        <f t="shared" ref="C209:C215" si="17" xml:space="preserve"> IF(B209="","",setValueToTime(B209))</f>
        <v>0h25min</v>
      </c>
      <c r="D209" s="174" t="s">
        <v>141</v>
      </c>
      <c r="E209" s="231"/>
      <c r="F209" s="232"/>
      <c r="G209" s="51"/>
    </row>
    <row r="210" spans="1:7" s="52" customFormat="1" x14ac:dyDescent="0.3">
      <c r="A210" s="53" t="s">
        <v>68</v>
      </c>
      <c r="B210" s="54">
        <v>7</v>
      </c>
      <c r="C210" s="153" t="str">
        <f t="shared" si="17"/>
        <v>0h35min</v>
      </c>
      <c r="D210" s="55" t="s">
        <v>116</v>
      </c>
      <c r="E210" s="231"/>
      <c r="F210" s="232"/>
      <c r="G210" s="51"/>
    </row>
    <row r="211" spans="1:7" s="52" customFormat="1" x14ac:dyDescent="0.3">
      <c r="A211" s="53" t="s">
        <v>16</v>
      </c>
      <c r="B211" s="54">
        <v>2</v>
      </c>
      <c r="C211" s="153" t="str">
        <f t="shared" si="17"/>
        <v>0h10min</v>
      </c>
      <c r="D211" s="55"/>
      <c r="E211" s="231"/>
      <c r="F211" s="232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31"/>
      <c r="F212" s="232"/>
      <c r="G212" s="51"/>
    </row>
    <row r="213" spans="1:7" s="52" customFormat="1" x14ac:dyDescent="0.3">
      <c r="A213" s="53"/>
      <c r="B213" s="54"/>
      <c r="C213" s="154" t="str">
        <f t="shared" si="17"/>
        <v/>
      </c>
      <c r="D213" s="55"/>
      <c r="E213" s="231"/>
      <c r="F213" s="232"/>
      <c r="G213" s="51"/>
    </row>
    <row r="214" spans="1:7" s="52" customFormat="1" x14ac:dyDescent="0.3">
      <c r="A214" s="53"/>
      <c r="B214" s="54"/>
      <c r="C214" s="154" t="str">
        <f t="shared" si="17"/>
        <v/>
      </c>
      <c r="D214" s="55"/>
      <c r="E214" s="231"/>
      <c r="F214" s="232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35"/>
      <c r="F215" s="236"/>
      <c r="G215" s="51"/>
    </row>
    <row r="216" spans="1:7" s="52" customFormat="1" ht="15" thickBot="1" x14ac:dyDescent="0.35">
      <c r="A216" s="111" t="s">
        <v>28</v>
      </c>
      <c r="B216" s="84">
        <f>SUM(B208:B215)</f>
        <v>38</v>
      </c>
      <c r="C216" s="111" t="str">
        <f xml:space="preserve"> setValueToTime(B216)</f>
        <v>3h10min</v>
      </c>
      <c r="D216" s="120"/>
      <c r="E216" s="233"/>
      <c r="F216" s="234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45418</v>
      </c>
      <c r="F218" s="126"/>
      <c r="G218" s="46"/>
    </row>
    <row r="219" spans="1:7" s="47" customFormat="1" ht="30" customHeight="1" thickBot="1" x14ac:dyDescent="0.3">
      <c r="A219" s="80" t="s">
        <v>5</v>
      </c>
      <c r="B219" s="150" t="s">
        <v>39</v>
      </c>
      <c r="C219" s="151"/>
      <c r="D219" s="80" t="s">
        <v>12</v>
      </c>
      <c r="E219" s="227" t="s">
        <v>13</v>
      </c>
      <c r="F219" s="228"/>
      <c r="G219" s="46"/>
    </row>
    <row r="220" spans="1:7" s="52" customFormat="1" x14ac:dyDescent="0.3">
      <c r="A220" s="53" t="s">
        <v>15</v>
      </c>
      <c r="B220" s="54">
        <v>16</v>
      </c>
      <c r="C220" s="152" t="str">
        <f xml:space="preserve"> IF(B220="","",setValueToTime(B220))</f>
        <v>1h20min</v>
      </c>
      <c r="D220" s="176" t="s">
        <v>124</v>
      </c>
      <c r="E220" s="229"/>
      <c r="F220" s="230"/>
      <c r="G220" s="51"/>
    </row>
    <row r="221" spans="1:7" s="52" customFormat="1" x14ac:dyDescent="0.3">
      <c r="A221" s="53" t="s">
        <v>67</v>
      </c>
      <c r="B221" s="54">
        <v>10</v>
      </c>
      <c r="C221" s="153" t="str">
        <f t="shared" ref="C221:C227" si="18" xml:space="preserve"> IF(B221="","",setValueToTime(B221))</f>
        <v>0h50min</v>
      </c>
      <c r="D221" s="55"/>
      <c r="E221" s="231"/>
      <c r="F221" s="232"/>
      <c r="G221" s="51"/>
    </row>
    <row r="222" spans="1:7" s="52" customFormat="1" x14ac:dyDescent="0.3">
      <c r="A222" s="53" t="s">
        <v>16</v>
      </c>
      <c r="B222" s="54">
        <v>2</v>
      </c>
      <c r="C222" s="153" t="str">
        <f t="shared" si="18"/>
        <v>0h10min</v>
      </c>
      <c r="D222" s="55"/>
      <c r="E222" s="231"/>
      <c r="F222" s="232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31"/>
      <c r="F223" s="232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31"/>
      <c r="F224" s="232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31"/>
      <c r="F225" s="232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31"/>
      <c r="F226" s="232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35"/>
      <c r="F227" s="236"/>
      <c r="G227" s="51"/>
    </row>
    <row r="228" spans="1:7" s="52" customFormat="1" ht="15" thickBot="1" x14ac:dyDescent="0.35">
      <c r="A228" s="111" t="s">
        <v>28</v>
      </c>
      <c r="B228" s="84">
        <f>SUM(B220:B227)</f>
        <v>28</v>
      </c>
      <c r="C228" s="111" t="str">
        <f xml:space="preserve"> setValueToTime(B228)</f>
        <v>2h20min</v>
      </c>
      <c r="D228" s="120"/>
      <c r="E228" s="233"/>
      <c r="F228" s="234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45418</v>
      </c>
      <c r="F230" s="126"/>
      <c r="G230" s="46"/>
    </row>
    <row r="231" spans="1:7" s="47" customFormat="1" ht="30" customHeight="1" thickBot="1" x14ac:dyDescent="0.3">
      <c r="A231" s="80" t="s">
        <v>5</v>
      </c>
      <c r="B231" s="150" t="s">
        <v>39</v>
      </c>
      <c r="C231" s="151"/>
      <c r="D231" s="80" t="s">
        <v>12</v>
      </c>
      <c r="E231" s="227" t="s">
        <v>13</v>
      </c>
      <c r="F231" s="228"/>
      <c r="G231" s="46"/>
    </row>
    <row r="232" spans="1:7" s="52" customFormat="1" x14ac:dyDescent="0.3">
      <c r="A232" s="53" t="s">
        <v>65</v>
      </c>
      <c r="B232" s="49">
        <v>46</v>
      </c>
      <c r="C232" s="152" t="str">
        <f xml:space="preserve"> IF(B232="","",setValueToTime(B232))</f>
        <v>3h50min</v>
      </c>
      <c r="D232" s="174"/>
      <c r="E232" s="229"/>
      <c r="F232" s="230"/>
      <c r="G232" s="51"/>
    </row>
    <row r="233" spans="1:7" s="52" customFormat="1" x14ac:dyDescent="0.3">
      <c r="A233" s="53" t="s">
        <v>16</v>
      </c>
      <c r="B233" s="54">
        <v>2</v>
      </c>
      <c r="C233" s="153" t="str">
        <f t="shared" ref="C233:C239" si="19" xml:space="preserve"> IF(B233="","",setValueToTime(B233))</f>
        <v>0h10min</v>
      </c>
      <c r="D233" s="55"/>
      <c r="E233" s="231"/>
      <c r="F233" s="232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31"/>
      <c r="F234" s="232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31"/>
      <c r="F235" s="232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31"/>
      <c r="F236" s="232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31"/>
      <c r="F237" s="232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31"/>
      <c r="F238" s="232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35"/>
      <c r="F239" s="236"/>
      <c r="G239" s="51"/>
    </row>
    <row r="240" spans="1:7" s="52" customFormat="1" ht="15" thickBot="1" x14ac:dyDescent="0.35">
      <c r="A240" s="111" t="s">
        <v>28</v>
      </c>
      <c r="B240" s="84">
        <f>SUM(B232:B239)</f>
        <v>48</v>
      </c>
      <c r="C240" s="111" t="str">
        <f xml:space="preserve"> setValueToTime(B240)</f>
        <v>4h</v>
      </c>
      <c r="D240" s="120"/>
      <c r="E240" s="233"/>
      <c r="F240" s="234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45415</v>
      </c>
      <c r="F242" s="126"/>
      <c r="G242" s="46"/>
    </row>
    <row r="243" spans="1:7" s="47" customFormat="1" ht="30" customHeight="1" thickBot="1" x14ac:dyDescent="0.3">
      <c r="A243" s="80" t="s">
        <v>5</v>
      </c>
      <c r="B243" s="150" t="s">
        <v>39</v>
      </c>
      <c r="C243" s="151"/>
      <c r="D243" s="80" t="s">
        <v>12</v>
      </c>
      <c r="E243" s="227" t="s">
        <v>13</v>
      </c>
      <c r="F243" s="228"/>
      <c r="G243" s="46"/>
    </row>
    <row r="244" spans="1:7" s="52" customFormat="1" x14ac:dyDescent="0.3">
      <c r="A244" s="53" t="s">
        <v>65</v>
      </c>
      <c r="B244" s="49">
        <v>36</v>
      </c>
      <c r="C244" s="152" t="str">
        <f xml:space="preserve"> IF(B244="","",setValueToTime(B244))</f>
        <v>3h</v>
      </c>
      <c r="D244" s="50"/>
      <c r="E244" s="229"/>
      <c r="F244" s="230"/>
      <c r="G244" s="51"/>
    </row>
    <row r="245" spans="1:7" s="52" customFormat="1" x14ac:dyDescent="0.3">
      <c r="A245" s="53" t="s">
        <v>16</v>
      </c>
      <c r="B245" s="54">
        <v>2</v>
      </c>
      <c r="C245" s="153" t="str">
        <f t="shared" ref="C245:C251" si="20" xml:space="preserve"> IF(B245="","",setValueToTime(B245))</f>
        <v>0h10min</v>
      </c>
      <c r="D245" s="55"/>
      <c r="E245" s="231"/>
      <c r="F245" s="232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31"/>
      <c r="F246" s="232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31"/>
      <c r="F247" s="232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31"/>
      <c r="F248" s="232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31"/>
      <c r="F249" s="232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31"/>
      <c r="F250" s="232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35"/>
      <c r="F251" s="236"/>
      <c r="G251" s="51"/>
    </row>
    <row r="252" spans="1:7" s="52" customFormat="1" ht="15" thickBot="1" x14ac:dyDescent="0.35">
      <c r="A252" s="111" t="s">
        <v>28</v>
      </c>
      <c r="B252" s="84">
        <f>SUM(B244:B251)</f>
        <v>38</v>
      </c>
      <c r="C252" s="111" t="str">
        <f xml:space="preserve"> setValueToTime(B252)</f>
        <v>3h10min</v>
      </c>
      <c r="D252" s="120"/>
      <c r="E252" s="233"/>
      <c r="F252" s="234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45415</v>
      </c>
      <c r="F254" s="126"/>
      <c r="G254" s="46"/>
    </row>
    <row r="255" spans="1:7" s="47" customFormat="1" ht="30" customHeight="1" thickBot="1" x14ac:dyDescent="0.3">
      <c r="A255" s="80" t="s">
        <v>5</v>
      </c>
      <c r="B255" s="150" t="s">
        <v>39</v>
      </c>
      <c r="C255" s="151"/>
      <c r="D255" s="80" t="s">
        <v>12</v>
      </c>
      <c r="E255" s="227" t="s">
        <v>13</v>
      </c>
      <c r="F255" s="228"/>
      <c r="G255" s="46"/>
    </row>
    <row r="256" spans="1:7" s="52" customFormat="1" x14ac:dyDescent="0.3">
      <c r="A256" s="53" t="s">
        <v>65</v>
      </c>
      <c r="B256" s="49">
        <v>46</v>
      </c>
      <c r="C256" s="152" t="str">
        <f xml:space="preserve"> IF(B256="","",setValueToTime(B256))</f>
        <v>3h50min</v>
      </c>
      <c r="D256" s="176"/>
      <c r="E256" s="229"/>
      <c r="F256" s="230"/>
      <c r="G256" s="51"/>
    </row>
    <row r="257" spans="1:7" s="52" customFormat="1" x14ac:dyDescent="0.3">
      <c r="A257" s="53" t="s">
        <v>16</v>
      </c>
      <c r="B257" s="54">
        <v>2</v>
      </c>
      <c r="C257" s="153" t="str">
        <f t="shared" ref="C257:C263" si="21" xml:space="preserve"> IF(B257="","",setValueToTime(B257))</f>
        <v>0h10min</v>
      </c>
      <c r="D257" s="174"/>
      <c r="E257" s="231"/>
      <c r="F257" s="232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31"/>
      <c r="F258" s="232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31"/>
      <c r="F259" s="232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31"/>
      <c r="F260" s="232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31"/>
      <c r="F261" s="232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31"/>
      <c r="F262" s="232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35"/>
      <c r="F263" s="236"/>
      <c r="G263" s="51"/>
    </row>
    <row r="264" spans="1:7" s="52" customFormat="1" ht="15" thickBot="1" x14ac:dyDescent="0.35">
      <c r="A264" s="111" t="s">
        <v>28</v>
      </c>
      <c r="B264" s="84">
        <f>SUM(B256:B263)</f>
        <v>48</v>
      </c>
      <c r="C264" s="111" t="str">
        <f xml:space="preserve"> setValueToTime(B264)</f>
        <v>4h</v>
      </c>
      <c r="D264" s="120"/>
      <c r="E264" s="233"/>
      <c r="F264" s="234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v>45414</v>
      </c>
      <c r="F266" s="126"/>
      <c r="G266" s="46"/>
    </row>
    <row r="267" spans="1:7" s="47" customFormat="1" ht="30" customHeight="1" thickBot="1" x14ac:dyDescent="0.3">
      <c r="A267" s="80" t="s">
        <v>5</v>
      </c>
      <c r="B267" s="150" t="s">
        <v>39</v>
      </c>
      <c r="C267" s="151"/>
      <c r="D267" s="80" t="s">
        <v>12</v>
      </c>
      <c r="E267" s="227" t="s">
        <v>13</v>
      </c>
      <c r="F267" s="228"/>
      <c r="G267" s="46"/>
    </row>
    <row r="268" spans="1:7" s="52" customFormat="1" x14ac:dyDescent="0.3">
      <c r="A268" s="53" t="s">
        <v>15</v>
      </c>
      <c r="B268" s="49">
        <v>36</v>
      </c>
      <c r="C268" s="152" t="str">
        <f xml:space="preserve"> IF(B268="","",setValueToTime(B268))</f>
        <v>3h</v>
      </c>
      <c r="D268" s="176" t="s">
        <v>125</v>
      </c>
      <c r="E268" s="229"/>
      <c r="F268" s="230"/>
      <c r="G268" s="51"/>
    </row>
    <row r="269" spans="1:7" s="52" customFormat="1" x14ac:dyDescent="0.3">
      <c r="A269" s="53" t="s">
        <v>16</v>
      </c>
      <c r="B269" s="54">
        <v>2</v>
      </c>
      <c r="C269" s="153" t="str">
        <f t="shared" ref="C269:C275" si="22" xml:space="preserve"> IF(B269="","",setValueToTime(B269))</f>
        <v>0h10min</v>
      </c>
      <c r="D269" s="55"/>
      <c r="E269" s="231"/>
      <c r="F269" s="232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31"/>
      <c r="F270" s="232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31"/>
      <c r="F271" s="232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31"/>
      <c r="F272" s="232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31"/>
      <c r="F273" s="232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31"/>
      <c r="F274" s="232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35"/>
      <c r="F275" s="236"/>
      <c r="G275" s="51"/>
    </row>
    <row r="276" spans="1:7" s="52" customFormat="1" ht="15" thickBot="1" x14ac:dyDescent="0.35">
      <c r="A276" s="111" t="s">
        <v>28</v>
      </c>
      <c r="B276" s="84">
        <f>SUM(B268:B275)</f>
        <v>38</v>
      </c>
      <c r="C276" s="111" t="str">
        <f xml:space="preserve"> setValueToTime(B276)</f>
        <v>3h10min</v>
      </c>
      <c r="D276" s="120"/>
      <c r="E276" s="233"/>
      <c r="F276" s="234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45413</v>
      </c>
      <c r="F278" s="126"/>
      <c r="G278" s="46"/>
    </row>
    <row r="279" spans="1:7" s="47" customFormat="1" ht="30" customHeight="1" thickBot="1" x14ac:dyDescent="0.3">
      <c r="A279" s="80" t="s">
        <v>5</v>
      </c>
      <c r="B279" s="150" t="s">
        <v>39</v>
      </c>
      <c r="C279" s="151"/>
      <c r="D279" s="80" t="s">
        <v>12</v>
      </c>
      <c r="E279" s="227" t="s">
        <v>13</v>
      </c>
      <c r="F279" s="228"/>
      <c r="G279" s="46"/>
    </row>
    <row r="280" spans="1:7" s="52" customFormat="1" x14ac:dyDescent="0.3">
      <c r="A280" s="48" t="s">
        <v>64</v>
      </c>
      <c r="B280" s="49">
        <v>36</v>
      </c>
      <c r="C280" s="152" t="str">
        <f xml:space="preserve"> IF(B280="","",setValueToTime(B280))</f>
        <v>3h</v>
      </c>
      <c r="D280" s="50"/>
      <c r="E280" s="229"/>
      <c r="F280" s="230"/>
      <c r="G280" s="51"/>
    </row>
    <row r="281" spans="1:7" s="52" customFormat="1" x14ac:dyDescent="0.3">
      <c r="A281" s="53" t="s">
        <v>16</v>
      </c>
      <c r="B281" s="54">
        <v>2</v>
      </c>
      <c r="C281" s="153" t="str">
        <f t="shared" ref="C281:C287" si="23" xml:space="preserve"> IF(B281="","",setValueToTime(B281))</f>
        <v>0h10min</v>
      </c>
      <c r="D281" s="55"/>
      <c r="E281" s="231"/>
      <c r="F281" s="232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31"/>
      <c r="F282" s="232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31"/>
      <c r="F283" s="232"/>
      <c r="G283" s="51"/>
    </row>
    <row r="284" spans="1:7" s="52" customFormat="1" x14ac:dyDescent="0.3">
      <c r="A284" s="53"/>
      <c r="B284" s="54"/>
      <c r="C284" s="154" t="str">
        <f t="shared" si="23"/>
        <v/>
      </c>
      <c r="D284" s="55"/>
      <c r="E284" s="231"/>
      <c r="F284" s="232"/>
      <c r="G284" s="51"/>
    </row>
    <row r="285" spans="1:7" s="52" customFormat="1" x14ac:dyDescent="0.3">
      <c r="A285" s="53"/>
      <c r="B285" s="54"/>
      <c r="C285" s="154" t="str">
        <f t="shared" si="23"/>
        <v/>
      </c>
      <c r="D285" s="55"/>
      <c r="E285" s="231"/>
      <c r="F285" s="232"/>
      <c r="G285" s="51"/>
    </row>
    <row r="286" spans="1:7" s="52" customFormat="1" x14ac:dyDescent="0.3">
      <c r="A286" s="53"/>
      <c r="B286" s="54"/>
      <c r="C286" s="154" t="str">
        <f t="shared" si="23"/>
        <v/>
      </c>
      <c r="D286" s="55"/>
      <c r="E286" s="231"/>
      <c r="F286" s="232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35"/>
      <c r="F287" s="236"/>
      <c r="G287" s="51"/>
    </row>
    <row r="288" spans="1:7" s="52" customFormat="1" ht="15" thickBot="1" x14ac:dyDescent="0.35">
      <c r="A288" s="111" t="s">
        <v>28</v>
      </c>
      <c r="B288" s="84">
        <f>SUM(B280:B287)</f>
        <v>38</v>
      </c>
      <c r="C288" s="111" t="str">
        <f xml:space="preserve"> setValueToTime(B288)</f>
        <v>3h10min</v>
      </c>
      <c r="D288" s="120"/>
      <c r="E288" s="233"/>
      <c r="F288" s="234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45413</v>
      </c>
      <c r="F290" s="126"/>
      <c r="G290" s="46"/>
    </row>
    <row r="291" spans="1:7" s="47" customFormat="1" ht="30" customHeight="1" thickBot="1" x14ac:dyDescent="0.3">
      <c r="A291" s="80" t="s">
        <v>5</v>
      </c>
      <c r="B291" s="150" t="s">
        <v>39</v>
      </c>
      <c r="C291" s="151"/>
      <c r="D291" s="80" t="s">
        <v>12</v>
      </c>
      <c r="E291" s="227" t="s">
        <v>13</v>
      </c>
      <c r="F291" s="228"/>
      <c r="G291" s="46"/>
    </row>
    <row r="292" spans="1:7" s="52" customFormat="1" x14ac:dyDescent="0.3">
      <c r="A292" s="48" t="s">
        <v>61</v>
      </c>
      <c r="B292" s="49">
        <v>5</v>
      </c>
      <c r="C292" s="152" t="str">
        <f xml:space="preserve"> IF(B292="","",setValueToTime(B292))</f>
        <v>0h25min</v>
      </c>
      <c r="D292" s="50"/>
      <c r="E292" s="229"/>
      <c r="F292" s="230"/>
      <c r="G292" s="51"/>
    </row>
    <row r="293" spans="1:7" s="52" customFormat="1" x14ac:dyDescent="0.3">
      <c r="A293" s="53" t="s">
        <v>15</v>
      </c>
      <c r="B293" s="54">
        <v>3</v>
      </c>
      <c r="C293" s="153" t="str">
        <f t="shared" ref="C293:C299" si="24" xml:space="preserve"> IF(B293="","",setValueToTime(B293))</f>
        <v>0h15min</v>
      </c>
      <c r="D293" s="174" t="s">
        <v>121</v>
      </c>
      <c r="E293" s="231"/>
      <c r="F293" s="232"/>
      <c r="G293" s="51"/>
    </row>
    <row r="294" spans="1:7" s="52" customFormat="1" x14ac:dyDescent="0.3">
      <c r="A294" s="53" t="s">
        <v>62</v>
      </c>
      <c r="B294" s="54">
        <v>12</v>
      </c>
      <c r="C294" s="153" t="str">
        <f t="shared" si="24"/>
        <v>1h</v>
      </c>
      <c r="D294" s="55"/>
      <c r="E294" s="231"/>
      <c r="F294" s="232"/>
      <c r="G294" s="51"/>
    </row>
    <row r="295" spans="1:7" s="52" customFormat="1" x14ac:dyDescent="0.3">
      <c r="A295" s="53" t="s">
        <v>15</v>
      </c>
      <c r="B295" s="54">
        <v>6</v>
      </c>
      <c r="C295" s="153" t="str">
        <f t="shared" si="24"/>
        <v>0h30min</v>
      </c>
      <c r="D295" s="174" t="s">
        <v>122</v>
      </c>
      <c r="E295" s="231"/>
      <c r="F295" s="232"/>
      <c r="G295" s="51"/>
    </row>
    <row r="296" spans="1:7" s="52" customFormat="1" x14ac:dyDescent="0.3">
      <c r="A296" s="53" t="s">
        <v>63</v>
      </c>
      <c r="B296" s="54">
        <v>6</v>
      </c>
      <c r="C296" s="154" t="str">
        <f t="shared" si="24"/>
        <v>0h30min</v>
      </c>
      <c r="D296" s="55"/>
      <c r="E296" s="231"/>
      <c r="F296" s="232"/>
      <c r="G296" s="51"/>
    </row>
    <row r="297" spans="1:7" s="52" customFormat="1" x14ac:dyDescent="0.3">
      <c r="A297" s="53" t="s">
        <v>15</v>
      </c>
      <c r="B297" s="54">
        <v>4</v>
      </c>
      <c r="C297" s="154" t="str">
        <f t="shared" si="24"/>
        <v>0h20min</v>
      </c>
      <c r="D297" s="174" t="s">
        <v>123</v>
      </c>
      <c r="E297" s="231"/>
      <c r="F297" s="232"/>
      <c r="G297" s="51"/>
    </row>
    <row r="298" spans="1:7" s="52" customFormat="1" x14ac:dyDescent="0.3">
      <c r="A298" s="54" t="s">
        <v>16</v>
      </c>
      <c r="B298" s="54">
        <v>2</v>
      </c>
      <c r="C298" s="154" t="str">
        <f xml:space="preserve"> IF(B298="","",setValueToTime(B298))</f>
        <v>0h10min</v>
      </c>
      <c r="D298" s="55"/>
      <c r="E298" s="231"/>
      <c r="F298" s="232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35"/>
      <c r="F299" s="236"/>
      <c r="G299" s="51"/>
    </row>
    <row r="300" spans="1:7" s="52" customFormat="1" ht="15" thickBot="1" x14ac:dyDescent="0.35">
      <c r="A300" s="111" t="s">
        <v>28</v>
      </c>
      <c r="B300" s="84">
        <f>SUM(B292:B299)</f>
        <v>38</v>
      </c>
      <c r="C300" s="111" t="str">
        <f xml:space="preserve"> setValueToTime(B300)</f>
        <v>3h10min</v>
      </c>
      <c r="D300" s="120"/>
      <c r="E300" s="233"/>
      <c r="F300" s="234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45411</v>
      </c>
      <c r="F302" s="126"/>
      <c r="G302" s="46"/>
    </row>
    <row r="303" spans="1:7" s="47" customFormat="1" ht="30" customHeight="1" thickBot="1" x14ac:dyDescent="0.3">
      <c r="A303" s="80" t="s">
        <v>5</v>
      </c>
      <c r="B303" s="150" t="s">
        <v>39</v>
      </c>
      <c r="C303" s="151"/>
      <c r="D303" s="80" t="s">
        <v>12</v>
      </c>
      <c r="E303" s="227" t="s">
        <v>13</v>
      </c>
      <c r="F303" s="228"/>
      <c r="G303" s="46"/>
    </row>
    <row r="304" spans="1:7" s="52" customFormat="1" ht="27" x14ac:dyDescent="0.3">
      <c r="A304" s="48" t="s">
        <v>48</v>
      </c>
      <c r="B304" s="49">
        <v>28</v>
      </c>
      <c r="C304" s="152" t="str">
        <f xml:space="preserve"> IF(B304="","",setValueToTime(B304))</f>
        <v>2h20min</v>
      </c>
      <c r="D304" s="50"/>
      <c r="E304" s="229"/>
      <c r="F304" s="230"/>
      <c r="G304" s="51"/>
    </row>
    <row r="305" spans="1:7" s="52" customFormat="1" x14ac:dyDescent="0.3">
      <c r="A305" s="53"/>
      <c r="B305" s="54"/>
      <c r="C305" s="153" t="str">
        <f t="shared" ref="C305:C311" si="25" xml:space="preserve"> IF(B305="","",setValueToTime(B305))</f>
        <v/>
      </c>
      <c r="D305" s="55"/>
      <c r="E305" s="231"/>
      <c r="F305" s="232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231"/>
      <c r="F306" s="232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31"/>
      <c r="F307" s="232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31"/>
      <c r="F308" s="232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31"/>
      <c r="F309" s="232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31"/>
      <c r="F310" s="232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35"/>
      <c r="F311" s="236"/>
      <c r="G311" s="51"/>
    </row>
    <row r="312" spans="1:7" s="52" customFormat="1" ht="15" thickBot="1" x14ac:dyDescent="0.35">
      <c r="A312" s="111" t="s">
        <v>28</v>
      </c>
      <c r="B312" s="84">
        <f>SUM(B304:B311)</f>
        <v>28</v>
      </c>
      <c r="C312" s="111" t="str">
        <f xml:space="preserve"> setValueToTime(B312)</f>
        <v>2h20min</v>
      </c>
      <c r="D312" s="120"/>
      <c r="E312" s="233"/>
      <c r="F312" s="234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45411</v>
      </c>
      <c r="F314" s="126"/>
      <c r="G314" s="46"/>
    </row>
    <row r="315" spans="1:7" s="47" customFormat="1" ht="30" customHeight="1" thickBot="1" x14ac:dyDescent="0.3">
      <c r="A315" s="80" t="s">
        <v>5</v>
      </c>
      <c r="B315" s="150" t="s">
        <v>39</v>
      </c>
      <c r="C315" s="151"/>
      <c r="D315" s="80" t="s">
        <v>12</v>
      </c>
      <c r="E315" s="227" t="s">
        <v>13</v>
      </c>
      <c r="F315" s="228"/>
      <c r="G315" s="46"/>
    </row>
    <row r="316" spans="1:7" s="52" customFormat="1" x14ac:dyDescent="0.3">
      <c r="A316" s="48" t="s">
        <v>40</v>
      </c>
      <c r="B316" s="49">
        <v>7</v>
      </c>
      <c r="C316" s="152" t="str">
        <f xml:space="preserve"> IF(B316="","",setValueToTime(B316))</f>
        <v>0h35min</v>
      </c>
      <c r="D316" s="50"/>
      <c r="E316" s="229"/>
      <c r="F316" s="230"/>
      <c r="G316" s="51"/>
    </row>
    <row r="317" spans="1:7" s="52" customFormat="1" x14ac:dyDescent="0.3">
      <c r="A317" s="53" t="s">
        <v>43</v>
      </c>
      <c r="B317" s="54">
        <v>3</v>
      </c>
      <c r="C317" s="153" t="str">
        <f t="shared" ref="C317:C323" si="26" xml:space="preserve"> IF(B317="","",setValueToTime(B317))</f>
        <v>0h15min</v>
      </c>
      <c r="D317" s="55"/>
      <c r="E317" s="231"/>
      <c r="F317" s="232"/>
      <c r="G317" s="51"/>
    </row>
    <row r="318" spans="1:7" s="52" customFormat="1" ht="40.5" x14ac:dyDescent="0.3">
      <c r="A318" s="53" t="s">
        <v>44</v>
      </c>
      <c r="B318" s="54">
        <v>2</v>
      </c>
      <c r="C318" s="153" t="str">
        <f t="shared" si="26"/>
        <v>0h10min</v>
      </c>
      <c r="D318" s="55"/>
      <c r="E318" s="231"/>
      <c r="F318" s="232"/>
      <c r="G318" s="51"/>
    </row>
    <row r="319" spans="1:7" s="52" customFormat="1" x14ac:dyDescent="0.3">
      <c r="A319" s="53" t="s">
        <v>15</v>
      </c>
      <c r="B319" s="54">
        <v>6</v>
      </c>
      <c r="C319" s="153" t="str">
        <f t="shared" si="26"/>
        <v>0h30min</v>
      </c>
      <c r="D319" s="55"/>
      <c r="E319" s="231"/>
      <c r="F319" s="232"/>
      <c r="G319" s="51"/>
    </row>
    <row r="320" spans="1:7" s="52" customFormat="1" x14ac:dyDescent="0.3">
      <c r="A320" s="54" t="s">
        <v>41</v>
      </c>
      <c r="B320" s="54">
        <v>2</v>
      </c>
      <c r="C320" s="154" t="str">
        <f t="shared" si="26"/>
        <v>0h10min</v>
      </c>
      <c r="D320" s="55"/>
      <c r="E320" s="231"/>
      <c r="F320" s="232"/>
      <c r="G320" s="51"/>
    </row>
    <row r="321" spans="1:7" s="52" customFormat="1" ht="27" x14ac:dyDescent="0.3">
      <c r="A321" s="54" t="s">
        <v>45</v>
      </c>
      <c r="B321" s="54">
        <v>2</v>
      </c>
      <c r="C321" s="154" t="str">
        <f t="shared" si="26"/>
        <v>0h10min</v>
      </c>
      <c r="D321" s="55"/>
      <c r="E321" s="231"/>
      <c r="F321" s="232"/>
      <c r="G321" s="51"/>
    </row>
    <row r="322" spans="1:7" s="52" customFormat="1" ht="27" x14ac:dyDescent="0.3">
      <c r="A322" s="54" t="s">
        <v>46</v>
      </c>
      <c r="B322" s="54">
        <v>4</v>
      </c>
      <c r="C322" s="154" t="str">
        <f t="shared" si="26"/>
        <v>0h20min</v>
      </c>
      <c r="D322" s="55"/>
      <c r="E322" s="231"/>
      <c r="F322" s="232"/>
      <c r="G322" s="51"/>
    </row>
    <row r="323" spans="1:7" s="52" customFormat="1" ht="27.75" thickBot="1" x14ac:dyDescent="0.35">
      <c r="A323" s="56" t="s">
        <v>47</v>
      </c>
      <c r="B323" s="56">
        <v>22</v>
      </c>
      <c r="C323" s="155" t="str">
        <f t="shared" si="26"/>
        <v>1h50min</v>
      </c>
      <c r="D323" s="57"/>
      <c r="E323" s="235"/>
      <c r="F323" s="236"/>
      <c r="G323" s="51"/>
    </row>
    <row r="324" spans="1:7" s="52" customFormat="1" ht="15" thickBot="1" x14ac:dyDescent="0.35">
      <c r="A324" s="111" t="s">
        <v>28</v>
      </c>
      <c r="B324" s="84">
        <f>SUM(B316:B323)</f>
        <v>48</v>
      </c>
      <c r="C324" s="111" t="str">
        <f xml:space="preserve"> setValueToTime(B324)</f>
        <v>4h</v>
      </c>
      <c r="D324" s="120"/>
      <c r="E324" s="233"/>
      <c r="F324" s="234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32" priority="27" operator="greaterThan">
      <formula>60</formula>
    </cfRule>
  </conditionalFormatting>
  <conditionalFormatting sqref="B312">
    <cfRule type="cellIs" dxfId="31" priority="26" operator="greaterThan">
      <formula>60</formula>
    </cfRule>
  </conditionalFormatting>
  <conditionalFormatting sqref="B300">
    <cfRule type="cellIs" dxfId="30" priority="25" operator="greaterThan">
      <formula>60</formula>
    </cfRule>
  </conditionalFormatting>
  <conditionalFormatting sqref="B288">
    <cfRule type="cellIs" dxfId="29" priority="24" operator="greaterThan">
      <formula>60</formula>
    </cfRule>
  </conditionalFormatting>
  <conditionalFormatting sqref="B276">
    <cfRule type="cellIs" dxfId="28" priority="23" operator="greaterThan">
      <formula>60</formula>
    </cfRule>
  </conditionalFormatting>
  <conditionalFormatting sqref="B264">
    <cfRule type="cellIs" dxfId="27" priority="22" operator="greaterThan">
      <formula>60</formula>
    </cfRule>
  </conditionalFormatting>
  <conditionalFormatting sqref="B252">
    <cfRule type="cellIs" dxfId="26" priority="21" operator="greaterThan">
      <formula>60</formula>
    </cfRule>
  </conditionalFormatting>
  <conditionalFormatting sqref="B240">
    <cfRule type="cellIs" dxfId="25" priority="20" operator="greaterThan">
      <formula>60</formula>
    </cfRule>
  </conditionalFormatting>
  <conditionalFormatting sqref="B228">
    <cfRule type="cellIs" dxfId="24" priority="19" operator="greaterThan">
      <formula>60</formula>
    </cfRule>
  </conditionalFormatting>
  <conditionalFormatting sqref="B216">
    <cfRule type="cellIs" dxfId="23" priority="18" operator="greaterThan">
      <formula>60</formula>
    </cfRule>
  </conditionalFormatting>
  <conditionalFormatting sqref="B204">
    <cfRule type="cellIs" dxfId="22" priority="17" operator="greaterThan">
      <formula>60</formula>
    </cfRule>
  </conditionalFormatting>
  <conditionalFormatting sqref="B192">
    <cfRule type="cellIs" dxfId="21" priority="16" operator="greaterThan">
      <formula>60</formula>
    </cfRule>
  </conditionalFormatting>
  <conditionalFormatting sqref="B180">
    <cfRule type="cellIs" dxfId="20" priority="15" operator="greaterThan">
      <formula>60</formula>
    </cfRule>
  </conditionalFormatting>
  <conditionalFormatting sqref="B168">
    <cfRule type="cellIs" dxfId="19" priority="14" operator="greaterThan">
      <formula>60</formula>
    </cfRule>
  </conditionalFormatting>
  <conditionalFormatting sqref="B156">
    <cfRule type="cellIs" dxfId="18" priority="13" operator="greaterThan">
      <formula>60</formula>
    </cfRule>
  </conditionalFormatting>
  <conditionalFormatting sqref="B144">
    <cfRule type="cellIs" dxfId="17" priority="12" operator="greaterThan">
      <formula>60</formula>
    </cfRule>
  </conditionalFormatting>
  <conditionalFormatting sqref="B132">
    <cfRule type="cellIs" dxfId="16" priority="11" operator="greaterThan">
      <formula>60</formula>
    </cfRule>
  </conditionalFormatting>
  <conditionalFormatting sqref="B120">
    <cfRule type="cellIs" dxfId="15" priority="10" operator="greaterThan">
      <formula>60</formula>
    </cfRule>
  </conditionalFormatting>
  <conditionalFormatting sqref="B108">
    <cfRule type="cellIs" dxfId="14" priority="9" operator="greaterThan">
      <formula>60</formula>
    </cfRule>
  </conditionalFormatting>
  <conditionalFormatting sqref="B96">
    <cfRule type="cellIs" dxfId="13" priority="8" operator="greaterThan">
      <formula>60</formula>
    </cfRule>
  </conditionalFormatting>
  <conditionalFormatting sqref="B84">
    <cfRule type="cellIs" dxfId="12" priority="7" operator="greaterThan">
      <formula>60</formula>
    </cfRule>
  </conditionalFormatting>
  <conditionalFormatting sqref="B72">
    <cfRule type="cellIs" dxfId="11" priority="6" operator="greaterThan">
      <formula>60</formula>
    </cfRule>
  </conditionalFormatting>
  <conditionalFormatting sqref="B60">
    <cfRule type="cellIs" dxfId="10" priority="5" operator="greaterThan">
      <formula>60</formula>
    </cfRule>
  </conditionalFormatting>
  <conditionalFormatting sqref="B48">
    <cfRule type="cellIs" dxfId="9" priority="4" operator="greaterThan">
      <formula>60</formula>
    </cfRule>
  </conditionalFormatting>
  <conditionalFormatting sqref="B36">
    <cfRule type="cellIs" dxfId="8" priority="3" operator="greaterThan">
      <formula>60</formula>
    </cfRule>
  </conditionalFormatting>
  <conditionalFormatting sqref="B24">
    <cfRule type="cellIs" dxfId="7" priority="2" operator="greaterThan">
      <formula>60</formula>
    </cfRule>
  </conditionalFormatting>
  <conditionalFormatting sqref="B12">
    <cfRule type="cellIs" dxfId="6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3F371E6B-F03E-4175-95B6-9C2C25F9BB21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 B304:B311 B280:B287 B208:B215 B268:B275 B244:B251 B316:B323 B292:B299 B232:B239 B256:B263 B220:B227 B28:B35 B184:B191 B172:B179 B160:B167 B136:B143 B148:B155 B124:B131 B100:B107 B112:B119 B88:B95 B64:B71 B76:B83 B52:B59 B40:B47 B16:B23 B196:B203" xr:uid="{DDE3DB83-69BD-494E-B636-3CAB4900653C}">
      <formula1>0</formula1>
    </dataValidation>
    <dataValidation type="list" allowBlank="1" showInputMessage="1" showErrorMessage="1" sqref="A4:A11 A304:A311 A280:A287 A184:A191 A316:A323 A256:A263 A268:A275 A292:A299 A232:A239 A244:A251 A220:A227 A28:A35 A208:A215 A172:A179 A160:A167 A136:A143 A148:A155 A124:A131 A100:A107 A112:A119 A88:A95 A64:A71 A76:A83 A52:A59 A40:A47 A16:A23 A196:A203" xr:uid="{E5E54CC3-306D-41E4-BEA1-070CD2BD3D1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49"/>
  <sheetViews>
    <sheetView showGridLines="0" tabSelected="1" zoomScale="85" zoomScaleNormal="85" zoomScaleSheetLayoutView="98" workbookViewId="0">
      <pane ySplit="1" topLeftCell="A2" activePane="bottomLeft" state="frozen"/>
      <selection pane="bottomLeft" activeCell="D35" sqref="D35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4</v>
      </c>
      <c r="C2" s="164"/>
      <c r="D2" s="157" t="s">
        <v>14</v>
      </c>
      <c r="E2" s="158" t="s">
        <v>113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39</v>
      </c>
      <c r="C3" s="160"/>
      <c r="D3" s="78" t="s">
        <v>12</v>
      </c>
      <c r="E3" s="239" t="s">
        <v>13</v>
      </c>
      <c r="F3" s="240"/>
      <c r="G3" s="46"/>
    </row>
    <row r="4" spans="1:7" s="52" customFormat="1" x14ac:dyDescent="0.3">
      <c r="A4" s="48" t="s">
        <v>15</v>
      </c>
      <c r="B4" s="49">
        <v>8</v>
      </c>
      <c r="C4" s="152" t="str">
        <f xml:space="preserve"> IF(B4="","",setValueToTime(B4))</f>
        <v>0h40min</v>
      </c>
      <c r="D4" s="50" t="s">
        <v>151</v>
      </c>
      <c r="E4" s="229"/>
      <c r="F4" s="230"/>
      <c r="G4" s="51"/>
    </row>
    <row r="5" spans="1:7" s="52" customFormat="1" ht="27" x14ac:dyDescent="0.3">
      <c r="A5" s="53" t="s">
        <v>62</v>
      </c>
      <c r="B5" s="54">
        <v>7</v>
      </c>
      <c r="C5" s="153" t="str">
        <f t="shared" ref="C5:C11" si="0" xml:space="preserve"> IF(B5="","",setValueToTime(B5))</f>
        <v>0h35min</v>
      </c>
      <c r="D5" s="55" t="s">
        <v>150</v>
      </c>
      <c r="E5" s="231"/>
      <c r="F5" s="232"/>
      <c r="G5" s="51"/>
    </row>
    <row r="6" spans="1:7" s="52" customFormat="1" ht="27" x14ac:dyDescent="0.3">
      <c r="A6" s="53" t="s">
        <v>40</v>
      </c>
      <c r="B6" s="54">
        <v>3</v>
      </c>
      <c r="C6" s="153" t="str">
        <f t="shared" si="0"/>
        <v>0h15min</v>
      </c>
      <c r="D6" s="55" t="s">
        <v>152</v>
      </c>
      <c r="E6" s="231"/>
      <c r="F6" s="232"/>
      <c r="G6" s="51"/>
    </row>
    <row r="7" spans="1:7" s="52" customFormat="1" ht="27" x14ac:dyDescent="0.3">
      <c r="A7" s="53" t="s">
        <v>62</v>
      </c>
      <c r="B7" s="54">
        <v>6</v>
      </c>
      <c r="C7" s="153" t="str">
        <f t="shared" si="0"/>
        <v>0h30min</v>
      </c>
      <c r="D7" s="55" t="s">
        <v>150</v>
      </c>
      <c r="E7" s="231"/>
      <c r="F7" s="232"/>
      <c r="G7" s="51"/>
    </row>
    <row r="8" spans="1:7" s="52" customFormat="1" x14ac:dyDescent="0.3">
      <c r="A8" s="54" t="s">
        <v>63</v>
      </c>
      <c r="B8" s="54">
        <v>12</v>
      </c>
      <c r="C8" s="154" t="str">
        <f t="shared" si="0"/>
        <v>1h</v>
      </c>
      <c r="D8" s="55" t="s">
        <v>153</v>
      </c>
      <c r="E8" s="231"/>
      <c r="F8" s="232"/>
      <c r="G8" s="51"/>
    </row>
    <row r="9" spans="1:7" s="52" customFormat="1" ht="27" x14ac:dyDescent="0.3">
      <c r="A9" s="54" t="s">
        <v>16</v>
      </c>
      <c r="B9" s="54">
        <v>1</v>
      </c>
      <c r="C9" s="154" t="str">
        <f t="shared" si="0"/>
        <v>0h5min</v>
      </c>
      <c r="D9" s="174" t="s">
        <v>146</v>
      </c>
      <c r="E9" s="231"/>
      <c r="F9" s="232"/>
      <c r="G9" s="51"/>
    </row>
    <row r="10" spans="1:7" s="52" customFormat="1" x14ac:dyDescent="0.3">
      <c r="A10" s="54" t="s">
        <v>117</v>
      </c>
      <c r="B10" s="54">
        <v>1</v>
      </c>
      <c r="C10" s="154" t="str">
        <f t="shared" si="0"/>
        <v>0h5min</v>
      </c>
      <c r="D10" s="55" t="s">
        <v>154</v>
      </c>
      <c r="E10" s="231"/>
      <c r="F10" s="23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35"/>
      <c r="F11" s="236"/>
      <c r="G11" s="51"/>
    </row>
    <row r="12" spans="1:7" s="52" customFormat="1" ht="15" thickBot="1" x14ac:dyDescent="0.35">
      <c r="A12" s="162" t="s">
        <v>28</v>
      </c>
      <c r="B12" s="83">
        <f>SUM(B4:B11)</f>
        <v>38</v>
      </c>
      <c r="C12" s="162" t="str">
        <f xml:space="preserve"> setValueToTime(B12)</f>
        <v>3h10min</v>
      </c>
      <c r="D12" s="121"/>
      <c r="E12" s="237"/>
      <c r="F12" s="238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3</v>
      </c>
      <c r="C14" s="164"/>
      <c r="D14" s="157" t="s">
        <v>14</v>
      </c>
      <c r="E14" s="158" t="s">
        <v>113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39</v>
      </c>
      <c r="C15" s="160"/>
      <c r="D15" s="78" t="s">
        <v>12</v>
      </c>
      <c r="E15" s="239" t="s">
        <v>13</v>
      </c>
      <c r="F15" s="240"/>
      <c r="G15" s="46"/>
    </row>
    <row r="16" spans="1:7" s="52" customFormat="1" ht="27" x14ac:dyDescent="0.3">
      <c r="A16" s="48" t="s">
        <v>61</v>
      </c>
      <c r="B16" s="49">
        <v>10</v>
      </c>
      <c r="C16" s="152" t="str">
        <f xml:space="preserve"> IF(B16="","",setValueToTime(B16))</f>
        <v>0h50min</v>
      </c>
      <c r="D16" s="50" t="s">
        <v>147</v>
      </c>
      <c r="E16" s="229"/>
      <c r="F16" s="230"/>
      <c r="G16" s="51"/>
    </row>
    <row r="17" spans="1:7" s="52" customFormat="1" x14ac:dyDescent="0.3">
      <c r="A17" s="53" t="s">
        <v>15</v>
      </c>
      <c r="B17" s="54">
        <v>5</v>
      </c>
      <c r="C17" s="153" t="str">
        <f t="shared" ref="C17:C23" si="1" xml:space="preserve"> IF(B17="","",setValueToTime(B17))</f>
        <v>0h25min</v>
      </c>
      <c r="D17" s="55" t="s">
        <v>148</v>
      </c>
      <c r="E17" s="231"/>
      <c r="F17" s="232"/>
      <c r="G17" s="51"/>
    </row>
    <row r="18" spans="1:7" s="52" customFormat="1" ht="27" x14ac:dyDescent="0.3">
      <c r="A18" s="53" t="s">
        <v>62</v>
      </c>
      <c r="B18" s="54">
        <v>8</v>
      </c>
      <c r="C18" s="153" t="str">
        <f t="shared" si="1"/>
        <v>0h40min</v>
      </c>
      <c r="D18" s="55" t="s">
        <v>150</v>
      </c>
      <c r="E18" s="231"/>
      <c r="F18" s="232"/>
      <c r="G18" s="51"/>
    </row>
    <row r="19" spans="1:7" s="52" customFormat="1" x14ac:dyDescent="0.3">
      <c r="A19" s="53" t="s">
        <v>15</v>
      </c>
      <c r="B19" s="54">
        <v>10</v>
      </c>
      <c r="C19" s="153" t="str">
        <f t="shared" si="1"/>
        <v>0h50min</v>
      </c>
      <c r="D19" s="55" t="s">
        <v>149</v>
      </c>
      <c r="E19" s="231"/>
      <c r="F19" s="232"/>
      <c r="G19" s="51"/>
    </row>
    <row r="20" spans="1:7" s="52" customFormat="1" ht="27" x14ac:dyDescent="0.3">
      <c r="A20" s="53" t="s">
        <v>62</v>
      </c>
      <c r="B20" s="54">
        <v>4</v>
      </c>
      <c r="C20" s="154" t="str">
        <f t="shared" si="1"/>
        <v>0h20min</v>
      </c>
      <c r="D20" s="55" t="s">
        <v>150</v>
      </c>
      <c r="E20" s="231"/>
      <c r="F20" s="232"/>
      <c r="G20" s="51"/>
    </row>
    <row r="21" spans="1:7" s="52" customFormat="1" ht="27" x14ac:dyDescent="0.3">
      <c r="A21" s="54" t="s">
        <v>16</v>
      </c>
      <c r="B21" s="54">
        <v>1</v>
      </c>
      <c r="C21" s="154" t="str">
        <f t="shared" si="1"/>
        <v>0h5min</v>
      </c>
      <c r="D21" s="174" t="s">
        <v>146</v>
      </c>
      <c r="E21" s="231"/>
      <c r="F21" s="23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31"/>
      <c r="F22" s="23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35"/>
      <c r="F23" s="236"/>
      <c r="G23" s="51"/>
    </row>
    <row r="24" spans="1:7" s="52" customFormat="1" ht="15" thickBot="1" x14ac:dyDescent="0.35">
      <c r="A24" s="162" t="s">
        <v>28</v>
      </c>
      <c r="B24" s="83">
        <f>SUM(B16:B23)</f>
        <v>38</v>
      </c>
      <c r="C24" s="162" t="str">
        <f xml:space="preserve"> setValueToTime(B24)</f>
        <v>3h10min</v>
      </c>
      <c r="D24" s="121"/>
      <c r="E24" s="237"/>
      <c r="F24" s="238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2</v>
      </c>
      <c r="C26" s="164"/>
      <c r="D26" s="157" t="s">
        <v>14</v>
      </c>
      <c r="E26" s="158">
        <v>45411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39</v>
      </c>
      <c r="C27" s="160"/>
      <c r="D27" s="78" t="s">
        <v>12</v>
      </c>
      <c r="E27" s="239" t="s">
        <v>13</v>
      </c>
      <c r="F27" s="240"/>
      <c r="G27" s="46"/>
    </row>
    <row r="28" spans="1:7" s="52" customFormat="1" ht="27" x14ac:dyDescent="0.3">
      <c r="A28" s="48" t="s">
        <v>48</v>
      </c>
      <c r="B28" s="49">
        <v>10</v>
      </c>
      <c r="C28" s="152" t="str">
        <f xml:space="preserve"> IF(B28="","",setValueToTime(B28))</f>
        <v>0h50min</v>
      </c>
      <c r="D28" s="176" t="s">
        <v>118</v>
      </c>
      <c r="E28" s="229"/>
      <c r="F28" s="230"/>
      <c r="G28" s="51"/>
    </row>
    <row r="29" spans="1:7" s="52" customFormat="1" ht="27" x14ac:dyDescent="0.3">
      <c r="A29" s="53" t="s">
        <v>40</v>
      </c>
      <c r="B29" s="54">
        <v>1</v>
      </c>
      <c r="C29" s="153" t="str">
        <f t="shared" ref="C29:C35" si="2" xml:space="preserve"> IF(B29="","",setValueToTime(B29))</f>
        <v>0h5min</v>
      </c>
      <c r="D29" s="174" t="s">
        <v>119</v>
      </c>
      <c r="E29" s="231"/>
      <c r="F29" s="232"/>
      <c r="G29" s="51"/>
    </row>
    <row r="30" spans="1:7" s="52" customFormat="1" ht="27" x14ac:dyDescent="0.3">
      <c r="A30" s="53" t="s">
        <v>16</v>
      </c>
      <c r="B30" s="54">
        <v>1</v>
      </c>
      <c r="C30" s="153" t="str">
        <f t="shared" si="2"/>
        <v>0h5min</v>
      </c>
      <c r="D30" s="174" t="s">
        <v>120</v>
      </c>
      <c r="E30" s="231"/>
      <c r="F30" s="232"/>
      <c r="G30" s="51"/>
    </row>
    <row r="31" spans="1:7" s="52" customFormat="1" ht="27" x14ac:dyDescent="0.3">
      <c r="A31" s="53" t="s">
        <v>48</v>
      </c>
      <c r="B31" s="54">
        <v>9</v>
      </c>
      <c r="C31" s="153" t="str">
        <f t="shared" si="2"/>
        <v>0h45min</v>
      </c>
      <c r="D31" s="174" t="s">
        <v>143</v>
      </c>
      <c r="E31" s="231"/>
      <c r="F31" s="232"/>
      <c r="G31" s="51"/>
    </row>
    <row r="32" spans="1:7" s="52" customFormat="1" x14ac:dyDescent="0.3">
      <c r="A32" s="54" t="s">
        <v>117</v>
      </c>
      <c r="B32" s="54">
        <v>3</v>
      </c>
      <c r="C32" s="154" t="str">
        <f t="shared" si="2"/>
        <v>0h15min</v>
      </c>
      <c r="D32" s="174" t="s">
        <v>144</v>
      </c>
      <c r="E32" s="231"/>
      <c r="F32" s="232"/>
      <c r="G32" s="51"/>
    </row>
    <row r="33" spans="1:7" s="52" customFormat="1" x14ac:dyDescent="0.3">
      <c r="A33" s="54" t="s">
        <v>117</v>
      </c>
      <c r="B33" s="54">
        <v>2</v>
      </c>
      <c r="C33" s="154" t="str">
        <f t="shared" si="2"/>
        <v>0h10min</v>
      </c>
      <c r="D33" s="174" t="s">
        <v>145</v>
      </c>
      <c r="E33" s="231"/>
      <c r="F33" s="232"/>
      <c r="G33" s="51"/>
    </row>
    <row r="34" spans="1:7" s="52" customFormat="1" ht="27" x14ac:dyDescent="0.3">
      <c r="A34" s="54" t="s">
        <v>16</v>
      </c>
      <c r="B34" s="54">
        <v>2</v>
      </c>
      <c r="C34" s="154" t="str">
        <f t="shared" si="2"/>
        <v>0h10min</v>
      </c>
      <c r="D34" s="174" t="s">
        <v>146</v>
      </c>
      <c r="E34" s="231"/>
      <c r="F34" s="23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35"/>
      <c r="F35" s="236"/>
      <c r="G35" s="51"/>
    </row>
    <row r="36" spans="1:7" s="52" customFormat="1" ht="15" thickBot="1" x14ac:dyDescent="0.35">
      <c r="A36" s="162" t="s">
        <v>28</v>
      </c>
      <c r="B36" s="83">
        <f>SUM(B28:B35)</f>
        <v>28</v>
      </c>
      <c r="C36" s="162" t="str">
        <f xml:space="preserve"> setValueToTime(B36)</f>
        <v>2h20min</v>
      </c>
      <c r="D36" s="121"/>
      <c r="E36" s="237"/>
      <c r="F36" s="238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11</v>
      </c>
      <c r="B38" s="164">
        <v>1</v>
      </c>
      <c r="C38" s="164"/>
      <c r="D38" s="157" t="s">
        <v>14</v>
      </c>
      <c r="E38" s="158">
        <v>45411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39</v>
      </c>
      <c r="C39" s="160"/>
      <c r="D39" s="78" t="s">
        <v>12</v>
      </c>
      <c r="E39" s="239" t="s">
        <v>13</v>
      </c>
      <c r="F39" s="240"/>
      <c r="G39" s="46"/>
    </row>
    <row r="40" spans="1:7" s="52" customFormat="1" ht="27" x14ac:dyDescent="0.3">
      <c r="A40" s="48" t="s">
        <v>40</v>
      </c>
      <c r="B40" s="49">
        <v>7</v>
      </c>
      <c r="C40" s="152" t="str">
        <f xml:space="preserve"> IF(B40="","",setValueToTime(B40))</f>
        <v>0h35min</v>
      </c>
      <c r="D40" s="50" t="s">
        <v>54</v>
      </c>
      <c r="E40" s="229"/>
      <c r="F40" s="230"/>
      <c r="G40" s="51"/>
    </row>
    <row r="41" spans="1:7" s="52" customFormat="1" x14ac:dyDescent="0.3">
      <c r="A41" s="53" t="s">
        <v>43</v>
      </c>
      <c r="B41" s="54">
        <v>3</v>
      </c>
      <c r="C41" s="153" t="str">
        <f t="shared" ref="C41:C47" si="3" xml:space="preserve"> IF(B41="","",setValueToTime(B41))</f>
        <v>0h15min</v>
      </c>
      <c r="D41" s="174" t="s">
        <v>115</v>
      </c>
      <c r="E41" s="231"/>
      <c r="F41" s="232"/>
      <c r="G41" s="51"/>
    </row>
    <row r="42" spans="1:7" s="52" customFormat="1" ht="54" x14ac:dyDescent="0.3">
      <c r="A42" s="53" t="s">
        <v>44</v>
      </c>
      <c r="B42" s="54">
        <v>2</v>
      </c>
      <c r="C42" s="153" t="str">
        <f t="shared" si="3"/>
        <v>0h10min</v>
      </c>
      <c r="D42" s="55" t="s">
        <v>55</v>
      </c>
      <c r="E42" s="231"/>
      <c r="F42" s="232"/>
      <c r="G42" s="51"/>
    </row>
    <row r="43" spans="1:7" s="52" customFormat="1" x14ac:dyDescent="0.3">
      <c r="A43" s="53" t="s">
        <v>15</v>
      </c>
      <c r="B43" s="54">
        <v>6</v>
      </c>
      <c r="C43" s="153" t="str">
        <f t="shared" si="3"/>
        <v>0h30min</v>
      </c>
      <c r="D43" s="55" t="s">
        <v>56</v>
      </c>
      <c r="E43" s="231"/>
      <c r="F43" s="232"/>
      <c r="G43" s="51"/>
    </row>
    <row r="44" spans="1:7" s="52" customFormat="1" ht="27" x14ac:dyDescent="0.3">
      <c r="A44" s="54" t="s">
        <v>41</v>
      </c>
      <c r="B44" s="54">
        <v>2</v>
      </c>
      <c r="C44" s="154" t="str">
        <f t="shared" si="3"/>
        <v>0h10min</v>
      </c>
      <c r="D44" s="55" t="s">
        <v>57</v>
      </c>
      <c r="E44" s="231"/>
      <c r="F44" s="232"/>
      <c r="G44" s="51"/>
    </row>
    <row r="45" spans="1:7" s="52" customFormat="1" ht="40.5" x14ac:dyDescent="0.3">
      <c r="A45" s="54" t="s">
        <v>45</v>
      </c>
      <c r="B45" s="54">
        <v>2</v>
      </c>
      <c r="C45" s="154" t="str">
        <f t="shared" si="3"/>
        <v>0h10min</v>
      </c>
      <c r="D45" s="55" t="s">
        <v>58</v>
      </c>
      <c r="E45" s="231"/>
      <c r="F45" s="232"/>
      <c r="G45" s="51"/>
    </row>
    <row r="46" spans="1:7" s="52" customFormat="1" ht="40.5" x14ac:dyDescent="0.3">
      <c r="A46" s="54" t="s">
        <v>46</v>
      </c>
      <c r="B46" s="54">
        <v>4</v>
      </c>
      <c r="C46" s="154" t="str">
        <f t="shared" si="3"/>
        <v>0h20min</v>
      </c>
      <c r="D46" s="55" t="s">
        <v>59</v>
      </c>
      <c r="E46" s="231"/>
      <c r="F46" s="232"/>
      <c r="G46" s="51"/>
    </row>
    <row r="47" spans="1:7" s="52" customFormat="1" ht="27.75" thickBot="1" x14ac:dyDescent="0.35">
      <c r="A47" s="56" t="s">
        <v>47</v>
      </c>
      <c r="B47" s="56">
        <v>22</v>
      </c>
      <c r="C47" s="155" t="str">
        <f t="shared" si="3"/>
        <v>1h50min</v>
      </c>
      <c r="D47" s="57" t="s">
        <v>60</v>
      </c>
      <c r="E47" s="235"/>
      <c r="F47" s="236"/>
      <c r="G47" s="51"/>
    </row>
    <row r="48" spans="1:7" s="52" customFormat="1" ht="15" thickBot="1" x14ac:dyDescent="0.35">
      <c r="A48" s="162" t="s">
        <v>28</v>
      </c>
      <c r="B48" s="83">
        <f>SUM(B40:B47)</f>
        <v>48</v>
      </c>
      <c r="C48" s="162" t="str">
        <f xml:space="preserve"> setValueToTime(B48)</f>
        <v>4h</v>
      </c>
      <c r="D48" s="121"/>
      <c r="E48" s="237"/>
      <c r="F48" s="238"/>
      <c r="G48" s="51"/>
    </row>
    <row r="49" spans="1:7" s="59" customFormat="1" x14ac:dyDescent="0.3">
      <c r="A49" s="77"/>
      <c r="B49" s="77"/>
      <c r="C49" s="77"/>
      <c r="D49" s="77"/>
      <c r="E49" s="77"/>
      <c r="F49" s="77"/>
      <c r="G49" s="58"/>
    </row>
  </sheetData>
  <sheetProtection formatRows="0" insertRows="0" insertHyperlinks="0" deleteRows="0" selectLockedCells="1"/>
  <mergeCells count="40"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9:F39"/>
    <mergeCell ref="E40:F40"/>
    <mergeCell ref="E41:F41"/>
    <mergeCell ref="E42:F42"/>
    <mergeCell ref="E43:F43"/>
    <mergeCell ref="E44:F44"/>
    <mergeCell ref="E33:F33"/>
    <mergeCell ref="E34:F34"/>
    <mergeCell ref="E35:F35"/>
    <mergeCell ref="E36:F36"/>
    <mergeCell ref="E45:F45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disablePrompts="1" count="3">
    <dataValidation type="whole" operator="greaterThan" allowBlank="1" showInputMessage="1" showErrorMessage="1" errorTitle="Durée par tranche de 10min" error="Le nombre doit être de type entier" sqref="B40:B47 B28:B35 B16:B23 B4:B11" xr:uid="{AE9B0092-906E-4162-8077-895F30A0BA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 xr:uid="{2A76FA21-66A6-48FF-AE38-0274DE4802E1}">
      <formula1>0</formula1>
      <formula2>60</formula2>
    </dataValidation>
    <dataValidation type="list" allowBlank="1" showInputMessage="1" showErrorMessage="1" sqref="A40:A47 A28:A35 A16:A23 A4:A11" xr:uid="{DA42B938-E018-42AC-BFB5-6D469B3CEA0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5"/>
      <c r="B10" s="195"/>
      <c r="C10" s="195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5"/>
      <c r="V10" s="195"/>
      <c r="W10" s="195"/>
      <c r="X10" s="195"/>
      <c r="Y10" s="195"/>
      <c r="Z10" s="195"/>
      <c r="AA10" s="195"/>
      <c r="AB10" s="195"/>
      <c r="AC10" s="195"/>
      <c r="AD10" s="195"/>
      <c r="AE10" s="195"/>
      <c r="AF10" s="195"/>
      <c r="AG10" s="195"/>
      <c r="AH10" s="195"/>
      <c r="AI10" s="195"/>
      <c r="AJ10" s="195"/>
      <c r="AK10" s="195"/>
      <c r="AL10" s="195"/>
      <c r="AM10" s="195"/>
      <c r="AN10" s="195"/>
      <c r="AO10" s="195"/>
      <c r="AP10" s="195"/>
      <c r="AQ10" s="195"/>
      <c r="AR10" s="195"/>
      <c r="AS10" s="195"/>
      <c r="AT10" s="195"/>
      <c r="AU10" s="195"/>
      <c r="AV10" s="195"/>
      <c r="AW10" s="195"/>
      <c r="AX10" s="195"/>
      <c r="AY10" s="195"/>
      <c r="AZ10" s="195"/>
      <c r="BA10" s="195"/>
      <c r="BB10" s="195"/>
      <c r="BC10" s="195"/>
      <c r="BD10" s="195"/>
      <c r="BE10" s="195"/>
      <c r="BF10" s="195"/>
      <c r="BG10" s="195"/>
      <c r="BH10" s="195"/>
      <c r="BI10" s="90"/>
    </row>
    <row r="11" spans="1:61" ht="18" x14ac:dyDescent="0.25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6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90"/>
    </row>
    <row r="12" spans="1:61" ht="18.75" thickBot="1" x14ac:dyDescent="0.3">
      <c r="A12" s="197"/>
      <c r="B12" s="197"/>
      <c r="C12" s="197"/>
      <c r="D12" s="197"/>
      <c r="E12" s="197"/>
      <c r="F12" s="197"/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90"/>
    </row>
    <row r="13" spans="1:61" ht="18.75" thickBot="1" x14ac:dyDescent="0.3">
      <c r="A13" s="198" t="s">
        <v>11</v>
      </c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  <c r="AM13" s="199"/>
      <c r="AN13" s="199"/>
      <c r="AO13" s="199"/>
      <c r="AP13" s="199"/>
      <c r="AQ13" s="199"/>
      <c r="AR13" s="199"/>
      <c r="AS13" s="199"/>
      <c r="AT13" s="199"/>
      <c r="AU13" s="199"/>
      <c r="AV13" s="199"/>
      <c r="AW13" s="199"/>
      <c r="AX13" s="199"/>
      <c r="AY13" s="199"/>
      <c r="AZ13" s="199"/>
      <c r="BA13" s="199"/>
      <c r="BB13" s="199"/>
      <c r="BC13" s="199"/>
      <c r="BD13" s="199"/>
      <c r="BE13" s="199"/>
      <c r="BF13" s="199"/>
      <c r="BG13" s="199"/>
      <c r="BH13" s="200"/>
      <c r="BI13" s="90"/>
    </row>
    <row r="14" spans="1:61" ht="15.75" thickBot="1" x14ac:dyDescent="0.35">
      <c r="A14" s="103"/>
      <c r="B14" s="104"/>
      <c r="C14" s="104"/>
      <c r="D14" s="104"/>
      <c r="E14" s="201" t="s">
        <v>33</v>
      </c>
      <c r="F14" s="201"/>
      <c r="G14" s="201"/>
      <c r="H14" s="201"/>
      <c r="I14" s="104"/>
      <c r="J14" s="104"/>
      <c r="K14" s="202" t="s">
        <v>23</v>
      </c>
      <c r="L14" s="202"/>
      <c r="M14" s="202"/>
      <c r="N14" s="202"/>
      <c r="O14" s="129"/>
      <c r="P14" s="129"/>
      <c r="Q14" s="201" t="s">
        <v>34</v>
      </c>
      <c r="R14" s="201"/>
      <c r="S14" s="201"/>
      <c r="T14" s="201"/>
      <c r="U14" s="104"/>
      <c r="V14" s="104"/>
      <c r="W14" s="202" t="s">
        <v>24</v>
      </c>
      <c r="X14" s="202"/>
      <c r="Y14" s="202"/>
      <c r="Z14" s="202"/>
      <c r="AA14" s="129"/>
      <c r="AB14" s="129"/>
      <c r="AC14" s="201" t="s">
        <v>35</v>
      </c>
      <c r="AD14" s="201"/>
      <c r="AE14" s="201"/>
      <c r="AF14" s="201"/>
      <c r="AG14" s="104"/>
      <c r="AH14" s="104"/>
      <c r="AI14" s="202" t="s">
        <v>25</v>
      </c>
      <c r="AJ14" s="202"/>
      <c r="AK14" s="202"/>
      <c r="AL14" s="202"/>
      <c r="AM14" s="129"/>
      <c r="AN14" s="129"/>
      <c r="AO14" s="201" t="s">
        <v>36</v>
      </c>
      <c r="AP14" s="201"/>
      <c r="AQ14" s="201"/>
      <c r="AR14" s="201"/>
      <c r="AS14" s="104"/>
      <c r="AT14" s="104"/>
      <c r="AU14" s="202" t="s">
        <v>26</v>
      </c>
      <c r="AV14" s="202"/>
      <c r="AW14" s="202"/>
      <c r="AX14" s="202"/>
      <c r="AY14" s="129"/>
      <c r="AZ14" s="129"/>
      <c r="BA14" s="201" t="s">
        <v>37</v>
      </c>
      <c r="BB14" s="201"/>
      <c r="BC14" s="201"/>
      <c r="BD14" s="201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39</v>
      </c>
      <c r="C2" s="151"/>
      <c r="D2" s="80" t="s">
        <v>12</v>
      </c>
      <c r="E2" s="227" t="s">
        <v>13</v>
      </c>
      <c r="F2" s="22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9"/>
      <c r="F3" s="23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5"/>
      <c r="F10" s="236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33"/>
      <c r="F11" s="23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39</v>
      </c>
      <c r="C2" s="160"/>
      <c r="D2" s="78" t="s">
        <v>12</v>
      </c>
      <c r="E2" s="239" t="s">
        <v>13</v>
      </c>
      <c r="F2" s="24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9"/>
      <c r="F3" s="23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31"/>
      <c r="F4" s="23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31"/>
      <c r="F5" s="23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31"/>
      <c r="F6" s="23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31"/>
      <c r="F7" s="23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31"/>
      <c r="F8" s="23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31"/>
      <c r="F9" s="23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35"/>
      <c r="F10" s="236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37"/>
      <c r="F11" s="238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2024-05-01T14:31:57Z</cp:lastPrinted>
  <dcterms:created xsi:type="dcterms:W3CDTF">1996-10-21T11:03:58Z</dcterms:created>
  <dcterms:modified xsi:type="dcterms:W3CDTF">2024-05-01T14:32:07Z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