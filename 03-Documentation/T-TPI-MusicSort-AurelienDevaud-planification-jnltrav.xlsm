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95494FB8-A29E-462B-AC27-B09892EFF9AE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B24" i="12"/>
  <c r="C23" i="12"/>
  <c r="C22" i="12"/>
  <c r="B36" i="12"/>
  <c r="C35" i="12"/>
  <c r="C34" i="12"/>
  <c r="C33" i="12"/>
  <c r="C32" i="12"/>
  <c r="B48" i="12"/>
  <c r="C47" i="12"/>
  <c r="B60" i="12"/>
  <c r="C59" i="12"/>
  <c r="C58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72" i="12"/>
  <c r="C71" i="12"/>
  <c r="B84" i="12"/>
  <c r="C214" i="10"/>
  <c r="C213" i="10"/>
  <c r="C258" i="10"/>
  <c r="C284" i="10"/>
  <c r="C285" i="10"/>
  <c r="C68" i="10"/>
  <c r="C125" i="10"/>
  <c r="C197" i="10"/>
  <c r="C295" i="10"/>
  <c r="C48" i="10"/>
  <c r="C240" i="10"/>
  <c r="C52" i="10"/>
  <c r="C36" i="10"/>
  <c r="C67" i="10"/>
  <c r="C124" i="10"/>
  <c r="C211" i="10"/>
  <c r="C172" i="10"/>
  <c r="C294" i="10"/>
  <c r="C60" i="10"/>
  <c r="C252" i="10"/>
  <c r="C120" i="10"/>
  <c r="C90" i="10"/>
  <c r="C232" i="10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64" i="10"/>
  <c r="C28" i="10"/>
  <c r="C210" i="10"/>
  <c r="C245" i="10"/>
  <c r="C304" i="10"/>
  <c r="C288" i="10"/>
  <c r="C322" i="10"/>
  <c r="C88" i="10"/>
  <c r="C256" i="10"/>
  <c r="C204" i="10"/>
  <c r="C78" i="10"/>
  <c r="C17" i="10"/>
  <c r="C209" i="10"/>
  <c r="C196" i="10"/>
  <c r="C318" i="10"/>
  <c r="C160" i="10"/>
  <c r="C77" i="10"/>
  <c r="C16" i="10"/>
  <c r="C208" i="10"/>
  <c r="C317" i="10"/>
  <c r="C198" i="10"/>
  <c r="C144" i="10"/>
  <c r="C12" i="10"/>
  <c r="C76" i="10"/>
  <c r="C4" i="10"/>
  <c r="C222" i="10"/>
  <c r="C220" i="10"/>
  <c r="C316" i="10"/>
  <c r="C132" i="10"/>
  <c r="C324" i="10"/>
  <c r="C221" i="10"/>
  <c r="C29" i="10"/>
  <c r="C89" i="10"/>
  <c r="C149" i="10"/>
  <c r="C298" i="10"/>
  <c r="C244" i="10"/>
  <c r="C321" i="10"/>
  <c r="C156" i="10"/>
  <c r="C268" i="10"/>
  <c r="C42" i="10"/>
  <c r="C101" i="10"/>
  <c r="C148" i="10"/>
  <c r="C297" i="10"/>
  <c r="C257" i="10"/>
  <c r="C319" i="10"/>
  <c r="C168" i="10"/>
  <c r="C54" i="10"/>
  <c r="C180" i="10"/>
  <c r="C100" i="10"/>
  <c r="C40" i="10"/>
  <c r="C112" i="10"/>
  <c r="C280" i="10"/>
  <c r="C320" i="10"/>
  <c r="C113" i="10"/>
  <c r="C186" i="10"/>
  <c r="C53" i="10"/>
  <c r="C114" i="10"/>
  <c r="C185" i="10"/>
  <c r="C281" i="10"/>
  <c r="C24" i="10"/>
  <c r="C216" i="10"/>
  <c r="C8" i="12"/>
  <c r="C7" i="12"/>
  <c r="C6" i="12"/>
  <c r="C5" i="12"/>
  <c r="C4" i="12"/>
  <c r="C12" i="12"/>
  <c r="C21" i="12"/>
  <c r="C20" i="12"/>
  <c r="C19" i="12"/>
  <c r="C18" i="12"/>
  <c r="C17" i="12"/>
  <c r="C16" i="12"/>
  <c r="C24" i="12"/>
  <c r="C66" i="12"/>
  <c r="C81" i="12"/>
  <c r="C52" i="12"/>
  <c r="C82" i="12"/>
  <c r="C80" i="12"/>
  <c r="C77" i="12"/>
  <c r="C67" i="12"/>
  <c r="C46" i="12"/>
  <c r="C45" i="12"/>
  <c r="C48" i="12"/>
  <c r="C64" i="12"/>
  <c r="C65" i="12"/>
  <c r="C44" i="12"/>
  <c r="C84" i="12"/>
  <c r="C72" i="12"/>
  <c r="C55" i="12"/>
  <c r="C53" i="12"/>
  <c r="C29" i="12"/>
  <c r="C43" i="12"/>
  <c r="C70" i="12"/>
  <c r="C54" i="12"/>
  <c r="C28" i="12"/>
  <c r="C83" i="12"/>
  <c r="C76" i="12"/>
  <c r="C57" i="12"/>
  <c r="C41" i="12"/>
  <c r="C68" i="12"/>
  <c r="C69" i="12"/>
  <c r="C42" i="12"/>
  <c r="C40" i="12"/>
  <c r="C60" i="12"/>
  <c r="C78" i="12"/>
  <c r="C79" i="12"/>
  <c r="C56" i="12"/>
  <c r="C31" i="12"/>
  <c r="C30" i="12"/>
  <c r="C3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<sst xmlns="http://schemas.openxmlformats.org/spreadsheetml/2006/main" count="901" uniqueCount="167">
  <si>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</si>
  <si>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</si>
  <si>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</si>
  <si>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</si>
  <si>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</si>
  <si>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</si>
  <si>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</si>
  <si>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</si>
  <si>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</si>
  <si>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</si>
  <si>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</si>
  <si>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</si>
  <si>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</si>
  <si>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</si>
  <si>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</si>
  <si>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</si>
  <si>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</si>
  <si>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</si>
  <si>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</si>
  <si>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</si>
  <si>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</si>
  <si>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</si>
  <si>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</si>
  <si>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</si>
  <si>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</si>
  <si>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</si>
  <si>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</si>
  <si>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</si>
  <si>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</si>
  <si>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</si>
  <si>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</si>
  <si>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</si>
  <si>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</si>
  <si>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</si>
  <si>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</si>
  <si>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</si>
  <si>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</si>
  <si>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</si>
  <si>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</si>
  <si>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</si>
  <si>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</si>
  <si>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</si>
  <si>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</si>
  <si>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</si>
  <si>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</si>
  <si>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</si>
  <si>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</si>
  <si>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</si>
  <si>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</si>
  <si>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</si>
  <si>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</si>
  <si>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</si>
  <si>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</si>
  <si>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</si>
  <si>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</si>
  <si>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</si>
  <si>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</si>
  <si>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</si>
  <si>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</si>
  <si>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</si>
  <si>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</si>
  <si>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</si>
  <si>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</si>
  <si>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</si>
  <si>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</si>
  <si>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</si>
  <si>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</si>
  <si>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</si>
  <si>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</si>
  <si>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</si>
  <si>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</si>
  <si>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</si>
  <si>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</si>
  <si>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</si>
  <si>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</si>
  <si>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</si>
  <si>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</si>
  <si>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</si>
  <si>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</si>
  <si>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</si>
  <si>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</si>
  <si>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</si>
  <si>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</si>
  <si>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</si>
  <si>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</si>
  <si>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</si>
  <si>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</si>
  <si>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</si>
  <si>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</si>
  <si>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</si>
  <si>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</si>
  <si>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</si>
  <si>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</si>
  <si>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</si>
  <si>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</si>
  <si>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</si>
  <si>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</si>
  <si>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</si>
  <si>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</si>
  <si>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</si>
  <si>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</si>
  <si>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</si>
  <si>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</si>
  <si>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</si>
  <si>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</si>
  <si>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</si>
  <si>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</si>
  <si>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</si>
  <si>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</si>
  <si>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</si>
  <si>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</si>
  <si>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</si>
  <si>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</si>
  <si>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</si>
  <si>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</si>
  <si>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</si>
  <si>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</si>
  <si>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</si>
  <si>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</si>
  <si>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</si>
  <si>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</si>
  <si>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</si>
  <si>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</si>
  <si>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</si>
  <si>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</si>
  <si>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</si>
  <si>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</si>
  <si>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</si>
  <si>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</si>
  <si>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</si>
  <si>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</si>
  <si>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</si>
  <si>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</si>
  <si>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</si>
  <si>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</si>
  <si>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</si>
  <si>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</si>
  <si>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</si>
  <si>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</si>
  <si>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</si>
  <si>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</si>
  <si>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</si>
  <si>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</si>
  <si>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</si>
  <si>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</si>
  <si>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</si>
  <si>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</si>
  <si>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</si>
  <si>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</si>
  <si>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Retouches sur la partie UseCase</t>
  </si>
  <si>
    <t>Préparation des tests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</si>
  <si>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</si>
  <si>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</si>
  <si>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</si>
  <si>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</si>
  <si>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Explicaiton de la maquette</t>
  </si>
  <si>
    <t>Création de la maquette principal et des menus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</si>
  <si>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</si>
  <si>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</si>
  <si>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</si>
  <si>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</si>
  <si>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</si>
  <si>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</si>
  <si>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20h35min</t>
  </si>
  <si>
    <t>- 67h10min</t>
  </si>
  <si>
    <t>Création du diagramme de classe</t>
  </si>
  <si>
    <t>Préparation et envois des 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</si>
</sst>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72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0.57999998331069946</c:v>
              </c:pt>
              <c:pt idx="2">
                <c:v>5</c:v>
              </c:pt>
              <c:pt idx="3">
                <c:v>0.92000001668930054</c:v>
              </c:pt>
              <c:pt idx="4">
                <c:v>0.17000000178813934</c:v>
              </c:pt>
              <c:pt idx="5">
                <c:v>0</c:v>
              </c:pt>
              <c:pt idx="6">
                <c:v>0.5</c:v>
              </c:pt>
              <c:pt idx="7">
                <c:v>0.17000000178813934</c:v>
              </c:pt>
              <c:pt idx="8">
                <c:v>0.5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0.82999998331069946</c:v>
              </c:pt>
              <c:pt idx="13">
                <c:v>2.0799999237060547</c:v>
              </c:pt>
              <c:pt idx="14">
                <c:v>2</c:v>
              </c:pt>
              <c:pt idx="15">
                <c:v>4.0799999237060547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3" t="s">
        <v>31</v>
      </c>
      <c r="C35" s="193"/>
      <c r="D35" s="193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4" t="s">
        <v>32</v>
      </c>
      <c r="C37" s="194"/>
      <c r="D37" s="194"/>
      <c r="E37" s="109" t="s">
        <v>163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34" zoomScale="70" zoomScaleNormal="70" zoomScaleSheetLayoutView="43" workbookViewId="0">
      <selection activeCell="C45" sqref="C45:C4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225" t="s">
        <v>30</v>
      </c>
      <c r="D1" s="225"/>
      <c r="E1" s="225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226"/>
      <c r="D7" s="226"/>
      <c r="E7" s="226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21" t="str">
        <f>E96</f>
        <v>87h45min</v>
      </c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119"/>
      <c r="W9" s="220" t="s">
        <v>22</v>
      </c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1" t="str">
        <f>E98</f>
        <v>20h35min</v>
      </c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92"/>
      <c r="CR10" s="195"/>
      <c r="CS10" s="195"/>
      <c r="CT10" s="195"/>
      <c r="CU10" s="195"/>
      <c r="CV10" s="195"/>
      <c r="CW10" s="195"/>
      <c r="CX10" s="195"/>
      <c r="CY10" s="195"/>
      <c r="CZ10" s="195"/>
      <c r="DA10" s="195"/>
      <c r="DB10" s="195"/>
      <c r="DC10" s="195"/>
      <c r="DD10" s="195"/>
      <c r="DE10" s="195"/>
      <c r="DF10" s="195"/>
      <c r="DG10" s="195"/>
      <c r="DH10" s="195"/>
      <c r="DI10" s="195"/>
      <c r="DJ10" s="195"/>
      <c r="DK10" s="195"/>
      <c r="DL10" s="195"/>
      <c r="DM10" s="195"/>
      <c r="DN10" s="195"/>
      <c r="DO10" s="195"/>
      <c r="DP10" s="195"/>
      <c r="DQ10" s="195"/>
      <c r="DR10" s="195"/>
      <c r="DS10" s="195"/>
      <c r="DT10" s="195"/>
      <c r="DU10" s="195"/>
      <c r="DV10" s="195"/>
      <c r="DW10" s="195"/>
      <c r="DX10" s="195"/>
      <c r="DY10" s="195"/>
      <c r="DZ10" s="195"/>
      <c r="EA10" s="195"/>
      <c r="EB10" s="195"/>
      <c r="EC10" s="195"/>
      <c r="ED10" s="195"/>
      <c r="EE10" s="195"/>
      <c r="EF10" s="195"/>
      <c r="EG10" s="195"/>
      <c r="EH10" s="195"/>
      <c r="EI10" s="195"/>
      <c r="EJ10" s="195"/>
      <c r="EK10" s="195"/>
      <c r="EL10" s="195"/>
      <c r="EM10" s="195"/>
      <c r="EN10" s="195"/>
      <c r="EO10" s="195"/>
      <c r="EP10" s="195"/>
      <c r="EQ10" s="195"/>
      <c r="ER10" s="195"/>
      <c r="ES10" s="195"/>
      <c r="ET10" s="195"/>
      <c r="EU10" s="195"/>
      <c r="EV10" s="195"/>
      <c r="EW10" s="195"/>
      <c r="EX10" s="195"/>
      <c r="EY10" s="195"/>
      <c r="EZ10" s="195"/>
      <c r="FA10" s="195"/>
      <c r="FB10" s="195"/>
      <c r="FC10" s="195"/>
      <c r="FD10" s="195"/>
      <c r="FE10" s="195"/>
      <c r="FF10" s="195"/>
      <c r="FG10" s="195"/>
      <c r="FH10" s="195"/>
      <c r="FI10" s="195"/>
      <c r="FJ10" s="195"/>
      <c r="FK10" s="195"/>
      <c r="FL10" s="195"/>
      <c r="FM10" s="195"/>
      <c r="FN10" s="195"/>
      <c r="FO10" s="195"/>
      <c r="FP10" s="195"/>
      <c r="FQ10" s="195"/>
      <c r="FR10" s="195"/>
      <c r="FS10" s="195"/>
      <c r="FT10" s="195"/>
      <c r="FU10" s="195"/>
      <c r="FV10" s="195"/>
      <c r="FW10" s="195"/>
      <c r="FX10" s="195"/>
      <c r="FY10" s="195"/>
      <c r="FZ10" s="195"/>
      <c r="GA10" s="195"/>
      <c r="GB10" s="195"/>
      <c r="GC10" s="195"/>
      <c r="GD10" s="195"/>
      <c r="GE10" s="195"/>
      <c r="GF10" s="195"/>
      <c r="GG10" s="195"/>
      <c r="GH10" s="195"/>
      <c r="GI10" s="195"/>
      <c r="GJ10" s="195"/>
      <c r="GK10" s="195"/>
      <c r="GL10" s="195"/>
      <c r="GM10" s="195"/>
      <c r="GN10" s="195"/>
      <c r="GO10" s="195"/>
      <c r="GP10" s="195"/>
      <c r="GQ10" s="195"/>
      <c r="GR10" s="195"/>
      <c r="GS10" s="195"/>
      <c r="GT10" s="195"/>
      <c r="GU10" s="195"/>
      <c r="GV10" s="195"/>
      <c r="GW10" s="195"/>
      <c r="GX10" s="195"/>
      <c r="GY10" s="195"/>
      <c r="GZ10" s="195"/>
      <c r="HA10" s="195"/>
      <c r="HB10" s="195"/>
      <c r="HC10" s="195"/>
      <c r="HD10" s="195"/>
      <c r="HE10" s="195"/>
      <c r="HF10" s="195"/>
      <c r="HG10" s="195"/>
      <c r="HH10" s="195"/>
      <c r="HI10" s="195"/>
      <c r="HJ10" s="195"/>
      <c r="HK10" s="195"/>
      <c r="HL10" s="195"/>
      <c r="HM10" s="195"/>
      <c r="HN10" s="195"/>
      <c r="HO10" s="195"/>
      <c r="HP10" s="195"/>
      <c r="HQ10" s="195"/>
      <c r="HR10" s="195"/>
      <c r="HS10" s="195"/>
      <c r="HT10" s="195"/>
      <c r="HU10" s="195"/>
      <c r="HV10" s="195"/>
      <c r="HW10" s="195"/>
      <c r="HX10" s="195"/>
      <c r="HY10" s="195"/>
      <c r="HZ10" s="195"/>
      <c r="IA10" s="195"/>
      <c r="IB10" s="195"/>
      <c r="IC10" s="195"/>
      <c r="ID10" s="195"/>
      <c r="IE10" s="195"/>
      <c r="IF10" s="195"/>
      <c r="IG10" s="195"/>
      <c r="IH10" s="195"/>
      <c r="II10" s="195"/>
      <c r="IJ10" s="195"/>
      <c r="IK10" s="195"/>
      <c r="IL10" s="195"/>
      <c r="IM10" s="195"/>
      <c r="IN10" s="195"/>
      <c r="IO10" s="195"/>
      <c r="IP10" s="195"/>
      <c r="IQ10" s="195"/>
      <c r="IR10" s="195"/>
      <c r="IS10" s="195"/>
      <c r="IT10" s="195"/>
      <c r="IU10" s="195"/>
      <c r="IV10" s="195"/>
      <c r="IW10" s="195"/>
      <c r="IX10" s="195"/>
      <c r="IY10" s="195"/>
      <c r="IZ10" s="195"/>
      <c r="JA10" s="195"/>
      <c r="JB10" s="195"/>
      <c r="JC10" s="195"/>
      <c r="JD10" s="195"/>
      <c r="JE10" s="195"/>
      <c r="JF10" s="195"/>
      <c r="JG10" s="195"/>
      <c r="JH10" s="195"/>
      <c r="JI10" s="195"/>
      <c r="JJ10" s="195"/>
      <c r="JK10" s="195"/>
      <c r="JL10" s="195"/>
      <c r="JM10" s="195"/>
      <c r="JN10" s="195"/>
      <c r="JO10" s="195"/>
      <c r="JP10" s="195"/>
      <c r="JQ10" s="195"/>
      <c r="JR10" s="195"/>
      <c r="JS10" s="195"/>
      <c r="JT10" s="195"/>
      <c r="JU10" s="195"/>
      <c r="JV10" s="195"/>
      <c r="JW10" s="195"/>
      <c r="JX10" s="195"/>
      <c r="JY10" s="195"/>
      <c r="JZ10" s="195"/>
      <c r="KA10" s="195"/>
      <c r="KB10" s="195"/>
      <c r="KC10" s="195"/>
      <c r="KD10" s="195"/>
      <c r="KE10" s="195"/>
      <c r="KF10" s="195"/>
      <c r="KG10" s="195"/>
      <c r="KH10" s="195"/>
      <c r="KI10" s="195"/>
      <c r="KJ10" s="195"/>
      <c r="KK10" s="195"/>
      <c r="KL10" s="195"/>
      <c r="KM10" s="195"/>
      <c r="KN10" s="195"/>
      <c r="KO10" s="195"/>
      <c r="KP10" s="195"/>
      <c r="KQ10" s="195"/>
      <c r="KR10" s="195"/>
      <c r="KS10" s="195"/>
      <c r="KT10" s="195"/>
      <c r="KU10" s="195"/>
      <c r="KV10" s="195"/>
      <c r="KW10" s="195"/>
      <c r="KX10" s="195"/>
      <c r="KY10" s="195"/>
      <c r="KZ10" s="195"/>
      <c r="LA10" s="195"/>
      <c r="LB10" s="195"/>
      <c r="LC10" s="195"/>
      <c r="LD10" s="195"/>
      <c r="LE10" s="195"/>
      <c r="LF10" s="195"/>
      <c r="LG10" s="195"/>
      <c r="LH10" s="195"/>
      <c r="LI10" s="195"/>
      <c r="LJ10" s="195"/>
      <c r="LK10" s="195"/>
      <c r="LL10" s="195"/>
      <c r="LM10" s="195"/>
      <c r="LN10" s="195"/>
      <c r="LO10" s="195"/>
      <c r="LP10" s="195"/>
      <c r="LQ10" s="195"/>
      <c r="LR10" s="195"/>
      <c r="LS10" s="195"/>
      <c r="LT10" s="195"/>
      <c r="LU10" s="195"/>
      <c r="LV10" s="195"/>
      <c r="LW10" s="195"/>
      <c r="LX10" s="195"/>
      <c r="LY10" s="195"/>
      <c r="LZ10" s="195"/>
      <c r="MA10" s="195"/>
      <c r="MB10" s="195"/>
      <c r="MC10" s="195"/>
      <c r="MD10" s="195"/>
      <c r="ME10" s="195"/>
      <c r="MF10" s="195"/>
      <c r="MG10" s="195"/>
      <c r="MH10" s="195"/>
      <c r="MI10" s="195"/>
      <c r="MJ10" s="195"/>
      <c r="MK10" s="195"/>
      <c r="ML10" s="195"/>
      <c r="MM10" s="195"/>
      <c r="MN10" s="195"/>
      <c r="MO10" s="195"/>
      <c r="MP10" s="195"/>
      <c r="MQ10" s="195"/>
      <c r="MR10" s="195"/>
      <c r="MS10" s="195"/>
      <c r="MT10" s="195"/>
      <c r="MU10" s="195"/>
      <c r="MV10" s="195"/>
      <c r="MW10" s="195"/>
      <c r="MX10" s="195"/>
      <c r="MY10" s="195"/>
      <c r="MZ10" s="195"/>
      <c r="NA10" s="195"/>
      <c r="NB10" s="195"/>
      <c r="NC10" s="195"/>
      <c r="ND10" s="195"/>
      <c r="NE10" s="195"/>
      <c r="NF10" s="195"/>
      <c r="NG10" s="195"/>
      <c r="NH10" s="195"/>
      <c r="NI10" s="195"/>
      <c r="NJ10" s="195"/>
      <c r="NK10" s="195"/>
      <c r="NL10" s="195"/>
      <c r="NM10" s="195"/>
      <c r="NN10" s="195"/>
      <c r="NO10" s="195"/>
      <c r="NP10" s="195"/>
      <c r="NQ10" s="195"/>
      <c r="NR10" s="195"/>
      <c r="NS10" s="195"/>
      <c r="NT10" s="195"/>
      <c r="NU10" s="195"/>
      <c r="NV10" s="195"/>
      <c r="NW10" s="195"/>
      <c r="NX10" s="195"/>
      <c r="NY10" s="195"/>
      <c r="NZ10" s="195"/>
      <c r="OA10" s="195"/>
      <c r="OB10" s="195"/>
      <c r="OC10" s="195"/>
      <c r="OD10" s="195"/>
      <c r="OE10" s="195"/>
      <c r="OF10" s="195"/>
      <c r="OG10" s="195"/>
      <c r="OH10" s="195"/>
      <c r="OI10" s="195"/>
      <c r="OJ10" s="195"/>
      <c r="OK10" s="195"/>
      <c r="OL10" s="195"/>
      <c r="OM10" s="195"/>
      <c r="ON10" s="195"/>
      <c r="OO10" s="195"/>
      <c r="OP10" s="195"/>
      <c r="OQ10" s="195"/>
      <c r="OR10" s="195"/>
      <c r="OS10" s="195"/>
      <c r="OT10" s="195"/>
      <c r="OU10" s="195"/>
      <c r="OV10" s="195"/>
      <c r="OW10" s="195"/>
      <c r="OX10" s="195"/>
      <c r="OY10" s="195"/>
      <c r="OZ10" s="195"/>
      <c r="PA10" s="195"/>
      <c r="PB10" s="195"/>
      <c r="PC10" s="195"/>
      <c r="PD10" s="195"/>
      <c r="PE10" s="195"/>
      <c r="PF10" s="195"/>
      <c r="PG10" s="195"/>
      <c r="PH10" s="195"/>
      <c r="PI10" s="195"/>
      <c r="PJ10" s="195"/>
      <c r="PK10" s="195"/>
      <c r="PL10" s="195"/>
      <c r="PM10" s="195"/>
      <c r="PN10" s="195"/>
      <c r="PO10" s="195"/>
      <c r="PP10" s="195"/>
      <c r="PQ10" s="195"/>
      <c r="PR10" s="195"/>
      <c r="PS10" s="195"/>
      <c r="PT10" s="195"/>
      <c r="PU10" s="195"/>
      <c r="PV10" s="195"/>
      <c r="PW10" s="195"/>
      <c r="PX10" s="195"/>
      <c r="PY10" s="195"/>
      <c r="PZ10" s="195"/>
      <c r="QA10" s="195"/>
      <c r="QB10" s="195"/>
      <c r="QC10" s="195"/>
      <c r="QD10" s="195"/>
      <c r="QE10" s="195"/>
      <c r="QF10" s="195"/>
      <c r="QG10" s="195"/>
      <c r="QH10" s="195"/>
      <c r="QI10" s="195"/>
      <c r="QJ10" s="195"/>
      <c r="QK10" s="195"/>
      <c r="QL10" s="195"/>
      <c r="QM10" s="195"/>
      <c r="QN10" s="195"/>
      <c r="QO10" s="195"/>
      <c r="QP10" s="195"/>
      <c r="QQ10" s="195"/>
      <c r="QR10" s="195"/>
      <c r="QS10" s="195"/>
      <c r="QT10" s="195"/>
      <c r="QU10" s="195"/>
      <c r="QV10" s="195"/>
      <c r="QW10" s="195"/>
      <c r="QX10" s="195"/>
      <c r="QY10" s="195"/>
      <c r="QZ10" s="195"/>
      <c r="RA10" s="195"/>
      <c r="RB10" s="195"/>
      <c r="RC10" s="195"/>
      <c r="RD10" s="195"/>
      <c r="RE10" s="195"/>
      <c r="RF10" s="195"/>
      <c r="RG10" s="195"/>
      <c r="RH10" s="195"/>
      <c r="RI10" s="195"/>
      <c r="RJ10" s="195"/>
      <c r="RK10" s="195"/>
      <c r="RL10" s="195"/>
      <c r="RM10" s="195"/>
      <c r="RN10" s="195"/>
      <c r="RO10" s="195"/>
      <c r="RP10" s="195"/>
      <c r="RQ10" s="195"/>
      <c r="RR10" s="195"/>
      <c r="RS10" s="195"/>
      <c r="RT10" s="195"/>
      <c r="RU10" s="195"/>
      <c r="RV10" s="195"/>
      <c r="RW10" s="195"/>
      <c r="RX10" s="195"/>
      <c r="RY10" s="195"/>
      <c r="RZ10" s="195"/>
      <c r="SA10" s="195"/>
      <c r="SB10" s="195"/>
      <c r="SC10" s="195"/>
      <c r="SD10" s="195"/>
      <c r="SE10" s="195"/>
      <c r="SF10" s="195"/>
      <c r="SG10" s="195"/>
      <c r="SH10" s="195"/>
      <c r="SI10" s="195"/>
      <c r="SJ10" s="195"/>
      <c r="SK10" s="195"/>
      <c r="SL10" s="195"/>
      <c r="SM10" s="195"/>
      <c r="SN10" s="195"/>
      <c r="SO10" s="195"/>
      <c r="SP10" s="195"/>
      <c r="SQ10" s="195"/>
      <c r="SR10" s="195"/>
      <c r="SS10" s="195"/>
      <c r="ST10" s="195"/>
      <c r="SU10" s="195"/>
      <c r="SV10" s="195"/>
      <c r="SW10" s="195"/>
      <c r="SX10" s="195"/>
      <c r="SY10" s="195"/>
      <c r="SZ10" s="195"/>
      <c r="TA10" s="195"/>
      <c r="TB10" s="195"/>
      <c r="TC10" s="195"/>
      <c r="TD10" s="195"/>
      <c r="TE10" s="195"/>
      <c r="TF10" s="195"/>
      <c r="TG10" s="195"/>
      <c r="TH10" s="195"/>
      <c r="TI10" s="195"/>
      <c r="TJ10" s="195"/>
      <c r="TK10" s="195"/>
      <c r="TL10" s="195"/>
      <c r="TM10" s="195"/>
      <c r="TN10" s="195"/>
      <c r="TO10" s="195"/>
      <c r="TP10" s="195"/>
      <c r="TQ10" s="195"/>
      <c r="TR10" s="195"/>
      <c r="TS10" s="195"/>
      <c r="TT10" s="195"/>
      <c r="TU10" s="195"/>
      <c r="TV10" s="195"/>
      <c r="TW10" s="195"/>
      <c r="TX10" s="195"/>
      <c r="TY10" s="195"/>
      <c r="TZ10" s="195"/>
      <c r="UA10" s="195"/>
      <c r="UB10" s="195"/>
      <c r="UC10" s="195"/>
      <c r="UD10" s="195"/>
      <c r="UE10" s="195"/>
      <c r="UF10" s="195"/>
      <c r="UG10" s="195"/>
      <c r="UH10" s="195"/>
      <c r="UI10" s="195"/>
      <c r="UJ10" s="195"/>
      <c r="UK10" s="195"/>
      <c r="UL10" s="195"/>
      <c r="UM10" s="195"/>
      <c r="UN10" s="195"/>
      <c r="UO10" s="195"/>
      <c r="UP10" s="195"/>
      <c r="UQ10" s="195"/>
      <c r="UR10" s="195"/>
      <c r="US10" s="195"/>
      <c r="UT10" s="195"/>
      <c r="UU10" s="195"/>
      <c r="UV10" s="195"/>
      <c r="UW10" s="195"/>
      <c r="UX10" s="195"/>
      <c r="UY10" s="195"/>
      <c r="UZ10" s="195"/>
      <c r="VA10" s="195"/>
      <c r="VB10" s="195"/>
      <c r="VC10" s="195"/>
      <c r="VD10" s="195"/>
      <c r="VE10" s="195"/>
      <c r="VF10" s="195"/>
      <c r="VG10" s="195"/>
      <c r="VH10" s="195"/>
      <c r="VI10" s="195"/>
      <c r="VJ10" s="195"/>
      <c r="VK10" s="195"/>
      <c r="VL10" s="195"/>
      <c r="VM10" s="195"/>
      <c r="VN10" s="195"/>
      <c r="VO10" s="195"/>
      <c r="VP10" s="195"/>
      <c r="VQ10" s="195"/>
      <c r="VR10" s="195"/>
      <c r="VS10" s="195"/>
      <c r="VT10" s="195"/>
      <c r="VU10" s="195"/>
      <c r="VV10" s="195"/>
      <c r="VW10" s="195"/>
      <c r="VX10" s="195"/>
      <c r="VY10" s="195"/>
      <c r="VZ10" s="195"/>
      <c r="WA10" s="195"/>
      <c r="WB10" s="195"/>
      <c r="WC10" s="195"/>
      <c r="WD10" s="195"/>
      <c r="WE10" s="195"/>
      <c r="WF10" s="195"/>
      <c r="WG10" s="195"/>
      <c r="WH10" s="195"/>
      <c r="WI10" s="195"/>
      <c r="WJ10" s="195"/>
      <c r="WK10" s="195"/>
      <c r="WL10" s="195"/>
      <c r="WM10" s="195"/>
      <c r="WN10" s="195"/>
      <c r="WO10" s="195"/>
      <c r="WP10" s="195"/>
      <c r="WQ10" s="195"/>
      <c r="WR10" s="195"/>
      <c r="WS10" s="195"/>
      <c r="WT10" s="195"/>
      <c r="WU10" s="195"/>
      <c r="WV10" s="195"/>
      <c r="WW10" s="195"/>
      <c r="WX10" s="195"/>
      <c r="WY10" s="195"/>
      <c r="WZ10" s="195"/>
      <c r="XA10" s="195"/>
      <c r="XB10" s="195"/>
      <c r="XC10" s="195"/>
      <c r="XD10" s="195"/>
      <c r="XE10" s="195"/>
      <c r="XF10" s="195"/>
      <c r="XG10" s="195"/>
      <c r="XH10" s="195"/>
      <c r="XI10" s="195"/>
      <c r="XJ10" s="195"/>
      <c r="XK10" s="195"/>
      <c r="XL10" s="195"/>
      <c r="XM10" s="195"/>
      <c r="XN10" s="195"/>
      <c r="XO10" s="195"/>
      <c r="XP10" s="195"/>
      <c r="XQ10" s="195"/>
      <c r="XR10" s="195"/>
      <c r="XS10" s="195"/>
      <c r="XT10" s="195"/>
      <c r="XU10" s="195"/>
      <c r="XV10" s="195"/>
      <c r="XW10" s="195"/>
      <c r="XX10" s="195"/>
      <c r="XY10" s="195"/>
      <c r="XZ10" s="195"/>
      <c r="YA10" s="195"/>
      <c r="YB10" s="195"/>
      <c r="YC10" s="195"/>
      <c r="YD10" s="195"/>
      <c r="YE10" s="195"/>
      <c r="YF10" s="195"/>
      <c r="YG10" s="195"/>
      <c r="YH10" s="195"/>
      <c r="YI10" s="195"/>
      <c r="YJ10" s="195"/>
      <c r="YK10" s="195"/>
      <c r="YL10" s="195"/>
      <c r="YM10" s="195"/>
      <c r="YN10" s="195"/>
      <c r="YO10" s="195"/>
      <c r="YP10" s="195"/>
      <c r="YQ10" s="195"/>
      <c r="YR10" s="195"/>
      <c r="YS10" s="195"/>
      <c r="YT10" s="195"/>
      <c r="YU10" s="195"/>
      <c r="YV10" s="195"/>
      <c r="YW10" s="195"/>
      <c r="YX10" s="195"/>
      <c r="YY10" s="195"/>
      <c r="YZ10" s="195"/>
      <c r="ZA10" s="195"/>
      <c r="ZB10" s="195"/>
      <c r="ZC10" s="195"/>
      <c r="ZD10" s="195"/>
      <c r="ZE10" s="195"/>
      <c r="ZF10" s="195"/>
      <c r="ZG10" s="195"/>
      <c r="ZH10" s="195"/>
      <c r="ZI10" s="195"/>
      <c r="ZJ10" s="195"/>
      <c r="ZK10" s="195"/>
      <c r="ZL10" s="195"/>
      <c r="ZM10" s="195"/>
      <c r="ZN10" s="195"/>
      <c r="ZO10" s="195"/>
      <c r="ZP10" s="195"/>
      <c r="ZQ10" s="195"/>
      <c r="ZR10" s="195"/>
      <c r="ZS10" s="195"/>
      <c r="ZT10" s="195"/>
      <c r="ZU10" s="195"/>
      <c r="ZV10" s="195"/>
      <c r="ZW10" s="195"/>
      <c r="ZX10" s="195"/>
      <c r="ZY10" s="195"/>
      <c r="ZZ10" s="195"/>
      <c r="AAA10" s="195"/>
      <c r="AAB10" s="195"/>
      <c r="AAC10" s="195"/>
      <c r="AAD10" s="195"/>
      <c r="AAE10" s="195"/>
      <c r="AAF10" s="195"/>
      <c r="AAG10" s="195"/>
      <c r="AAH10" s="195"/>
      <c r="AAI10" s="195"/>
      <c r="AAJ10" s="195"/>
      <c r="AAK10" s="195"/>
      <c r="AAL10" s="195"/>
      <c r="AAM10" s="195"/>
      <c r="AAN10" s="195"/>
      <c r="AAO10" s="195"/>
      <c r="AAP10" s="195"/>
      <c r="AAQ10" s="195"/>
      <c r="AAR10" s="195"/>
      <c r="AAS10" s="195"/>
      <c r="AAT10" s="195"/>
      <c r="AAU10" s="195"/>
      <c r="AAV10" s="195"/>
      <c r="AAW10" s="195"/>
      <c r="AAX10" s="195"/>
      <c r="AAY10" s="195"/>
      <c r="AAZ10" s="195"/>
      <c r="ABA10" s="195"/>
      <c r="ABB10" s="195"/>
      <c r="ABC10" s="195"/>
      <c r="ABD10" s="195"/>
      <c r="ABE10" s="195"/>
      <c r="ABF10" s="195"/>
      <c r="ABG10" s="195"/>
      <c r="ABH10" s="195"/>
      <c r="ABI10" s="195"/>
      <c r="ABJ10" s="195"/>
      <c r="ABK10" s="195"/>
      <c r="ABL10" s="195"/>
      <c r="ABM10" s="195"/>
      <c r="ABN10" s="195"/>
      <c r="ABO10" s="195"/>
      <c r="ABP10" s="195"/>
      <c r="ABQ10" s="195"/>
      <c r="ABR10" s="195"/>
      <c r="ABS10" s="195"/>
      <c r="ABT10" s="195"/>
      <c r="ABU10" s="195"/>
      <c r="ABV10" s="195"/>
      <c r="ABW10" s="195"/>
      <c r="ABX10" s="195"/>
      <c r="ABY10" s="195"/>
      <c r="ABZ10" s="195"/>
      <c r="ACA10" s="195"/>
      <c r="ACB10" s="195"/>
      <c r="ACC10" s="195"/>
      <c r="ACD10" s="195"/>
      <c r="ACE10" s="195"/>
      <c r="ACF10" s="195"/>
      <c r="ACG10" s="195"/>
      <c r="ACH10" s="195"/>
      <c r="ACI10" s="195"/>
      <c r="ACJ10" s="195"/>
      <c r="ACK10" s="195"/>
      <c r="ACL10" s="195"/>
      <c r="ACM10" s="195"/>
      <c r="ACN10" s="195"/>
      <c r="ACO10" s="195"/>
      <c r="ACP10" s="195"/>
      <c r="ACQ10" s="195"/>
      <c r="ACR10" s="195"/>
      <c r="ACS10" s="195"/>
      <c r="ACT10" s="195"/>
      <c r="ACU10" s="195"/>
      <c r="ACV10" s="195"/>
      <c r="ACW10" s="195"/>
      <c r="ACX10" s="195"/>
      <c r="ACY10" s="195"/>
      <c r="ACZ10" s="195"/>
      <c r="ADA10" s="195"/>
      <c r="ADB10" s="195"/>
      <c r="ADC10" s="195"/>
      <c r="ADD10" s="195"/>
      <c r="ADE10" s="195"/>
      <c r="ADF10" s="195"/>
      <c r="ADG10" s="195"/>
      <c r="ADH10" s="195"/>
      <c r="ADI10" s="195"/>
      <c r="ADJ10" s="195"/>
      <c r="ADK10" s="195"/>
      <c r="ADL10" s="195"/>
      <c r="ADM10" s="195"/>
      <c r="ADN10" s="195"/>
      <c r="ADO10" s="195"/>
      <c r="ADP10" s="195"/>
      <c r="ADQ10" s="195"/>
      <c r="ADR10" s="195"/>
      <c r="ADS10" s="195"/>
      <c r="ADT10" s="195"/>
      <c r="ADU10" s="195"/>
      <c r="ADV10" s="195"/>
      <c r="ADW10" s="195"/>
      <c r="ADX10" s="195"/>
      <c r="ADY10" s="195"/>
      <c r="ADZ10" s="195"/>
      <c r="AEA10" s="195"/>
      <c r="AEB10" s="195"/>
      <c r="AEC10" s="195"/>
      <c r="AED10" s="195"/>
      <c r="AEE10" s="195"/>
      <c r="AEF10" s="195"/>
      <c r="AEG10" s="195"/>
      <c r="AEH10" s="195"/>
      <c r="AEI10" s="195"/>
      <c r="AEJ10" s="195"/>
      <c r="AEK10" s="195"/>
      <c r="AEL10" s="195"/>
      <c r="AEM10" s="195"/>
      <c r="AEN10" s="195"/>
      <c r="AEO10" s="195"/>
      <c r="AEP10" s="195"/>
      <c r="AEQ10" s="195"/>
      <c r="AER10" s="195"/>
      <c r="AES10" s="195"/>
      <c r="AET10" s="195"/>
      <c r="AEU10" s="195"/>
      <c r="AEV10" s="195"/>
      <c r="AEW10" s="195"/>
      <c r="AEX10" s="195"/>
      <c r="AEY10" s="195"/>
      <c r="AEZ10" s="195"/>
      <c r="AFA10" s="195"/>
      <c r="AFB10" s="195"/>
      <c r="AFC10" s="195"/>
      <c r="AFD10" s="195"/>
      <c r="AFE10" s="195"/>
      <c r="AFF10" s="195"/>
      <c r="AFG10" s="195"/>
      <c r="AFH10" s="195"/>
      <c r="AFI10" s="195"/>
      <c r="AFJ10" s="195"/>
      <c r="AFK10" s="195"/>
      <c r="AFL10" s="195"/>
      <c r="AFM10" s="195"/>
      <c r="AFN10" s="195"/>
      <c r="AFO10" s="195"/>
      <c r="AFP10" s="195"/>
      <c r="AFQ10" s="195"/>
      <c r="AFR10" s="195"/>
      <c r="AFS10" s="195"/>
      <c r="AFT10" s="195"/>
      <c r="AFU10" s="195"/>
      <c r="AFV10" s="195"/>
      <c r="AFW10" s="195"/>
      <c r="AFX10" s="195"/>
      <c r="AFY10" s="195"/>
      <c r="AFZ10" s="195"/>
      <c r="AGA10" s="195"/>
      <c r="AGB10" s="195"/>
      <c r="AGC10" s="195"/>
      <c r="AGD10" s="195"/>
      <c r="AGE10" s="195"/>
      <c r="AGF10" s="195"/>
      <c r="AGG10" s="195"/>
      <c r="AGH10" s="195"/>
      <c r="AGI10" s="195"/>
      <c r="AGJ10" s="195"/>
      <c r="AGK10" s="195"/>
      <c r="AGL10" s="195"/>
      <c r="AGM10" s="195"/>
      <c r="AGN10" s="195"/>
      <c r="AGO10" s="195"/>
      <c r="AGP10" s="195"/>
      <c r="AGQ10" s="195"/>
      <c r="AGR10" s="195"/>
      <c r="AGS10" s="195"/>
      <c r="AGT10" s="195"/>
      <c r="AGU10" s="195"/>
      <c r="AGV10" s="195"/>
      <c r="AGW10" s="195"/>
      <c r="AGX10" s="195"/>
      <c r="AGY10" s="195"/>
      <c r="AGZ10" s="195"/>
      <c r="AHA10" s="195"/>
      <c r="AHB10" s="195"/>
      <c r="AHC10" s="195"/>
      <c r="AHD10" s="195"/>
      <c r="AHE10" s="195"/>
      <c r="AHF10" s="195"/>
      <c r="AHG10" s="195"/>
      <c r="AHH10" s="195"/>
      <c r="AHI10" s="195"/>
      <c r="AHJ10" s="195"/>
      <c r="AHK10" s="195"/>
      <c r="AHL10" s="195"/>
      <c r="AHM10" s="195"/>
      <c r="AHN10" s="195"/>
      <c r="AHO10" s="195"/>
      <c r="AHP10" s="195"/>
      <c r="AHQ10" s="195"/>
      <c r="AHR10" s="195"/>
      <c r="AHS10" s="195"/>
      <c r="AHT10" s="195"/>
      <c r="AHU10" s="195"/>
      <c r="AHV10" s="195"/>
      <c r="AHW10" s="195"/>
      <c r="AHX10" s="195"/>
      <c r="AHY10" s="195"/>
      <c r="AHZ10" s="195"/>
      <c r="AIA10" s="195"/>
      <c r="AIB10" s="195"/>
      <c r="AIC10" s="195"/>
      <c r="AID10" s="195"/>
      <c r="AIE10" s="195"/>
      <c r="AIF10" s="195"/>
      <c r="AIG10" s="195"/>
      <c r="AIH10" s="195"/>
      <c r="AII10" s="195"/>
      <c r="AIJ10" s="195"/>
      <c r="AIK10" s="195"/>
      <c r="AIL10" s="195"/>
      <c r="AIM10" s="195"/>
      <c r="AIN10" s="195"/>
      <c r="AIO10" s="195"/>
      <c r="AIP10" s="195"/>
      <c r="AIQ10" s="195"/>
      <c r="AIR10" s="195"/>
      <c r="AIS10" s="195"/>
      <c r="AIT10" s="195"/>
      <c r="AIU10" s="195"/>
      <c r="AIV10" s="195"/>
      <c r="AIW10" s="195"/>
      <c r="AIX10" s="195"/>
      <c r="AIY10" s="195"/>
      <c r="AIZ10" s="195"/>
      <c r="AJA10" s="195"/>
      <c r="AJB10" s="195"/>
      <c r="AJC10" s="195"/>
      <c r="AJD10" s="195"/>
      <c r="AJE10" s="195"/>
      <c r="AJF10" s="195"/>
      <c r="AJG10" s="195"/>
      <c r="AJH10" s="195"/>
      <c r="AJI10" s="195"/>
      <c r="AJJ10" s="195"/>
      <c r="AJK10" s="195"/>
      <c r="AJL10" s="195"/>
      <c r="AJM10" s="195"/>
      <c r="AJN10" s="195"/>
      <c r="AJO10" s="195"/>
      <c r="AJP10" s="195"/>
      <c r="AJQ10" s="195"/>
      <c r="AJR10" s="195"/>
      <c r="AJS10" s="195"/>
      <c r="AJT10" s="195"/>
      <c r="AJU10" s="195"/>
      <c r="AJV10" s="195"/>
      <c r="AJW10" s="195"/>
      <c r="AJX10" s="195"/>
      <c r="AJY10" s="195"/>
      <c r="AJZ10" s="195"/>
      <c r="AKA10" s="195"/>
      <c r="AKB10" s="195"/>
      <c r="AKC10" s="195"/>
      <c r="AKD10" s="195"/>
      <c r="AKE10" s="195"/>
      <c r="AKF10" s="195"/>
      <c r="AKG10" s="195"/>
      <c r="AKH10" s="195"/>
      <c r="AKI10" s="195"/>
      <c r="AKJ10" s="195"/>
      <c r="AKK10" s="195"/>
      <c r="AKL10" s="195"/>
      <c r="AKM10" s="195"/>
      <c r="AKN10" s="195"/>
      <c r="AKO10" s="195"/>
      <c r="AKP10" s="195"/>
      <c r="AKQ10" s="195"/>
      <c r="AKR10" s="195"/>
      <c r="AKS10" s="195"/>
      <c r="AKT10" s="195"/>
      <c r="AKU10" s="195"/>
      <c r="AKV10" s="195"/>
      <c r="AKW10" s="195"/>
      <c r="AKX10" s="195"/>
      <c r="AKY10" s="195"/>
      <c r="AKZ10" s="195"/>
      <c r="ALA10" s="195"/>
      <c r="ALB10" s="195"/>
      <c r="ALC10" s="195"/>
      <c r="ALD10" s="195"/>
      <c r="ALE10" s="195"/>
      <c r="ALF10" s="195"/>
      <c r="ALG10" s="195"/>
      <c r="ALH10" s="195"/>
      <c r="ALI10" s="195"/>
      <c r="ALJ10" s="195"/>
      <c r="ALK10" s="195"/>
      <c r="ALL10" s="195"/>
      <c r="ALM10" s="195"/>
      <c r="ALN10" s="195"/>
      <c r="ALO10" s="195"/>
      <c r="ALP10" s="195"/>
      <c r="ALQ10" s="195"/>
      <c r="ALR10" s="195"/>
      <c r="ALS10" s="195"/>
      <c r="ALT10" s="195"/>
      <c r="ALU10" s="195"/>
      <c r="ALV10" s="195"/>
      <c r="ALW10" s="195"/>
      <c r="ALX10" s="195"/>
      <c r="ALY10" s="195"/>
      <c r="ALZ10" s="195"/>
      <c r="AMA10" s="195"/>
      <c r="AMB10" s="195"/>
      <c r="AMC10" s="195"/>
      <c r="AMD10" s="195"/>
      <c r="AME10" s="195"/>
      <c r="AMF10" s="195"/>
      <c r="AMG10" s="195"/>
      <c r="AMH10" s="195"/>
      <c r="AMI10" s="195"/>
      <c r="AMJ10" s="195"/>
      <c r="AMK10" s="195"/>
      <c r="AML10" s="195"/>
      <c r="AMM10" s="195"/>
      <c r="AMN10" s="195"/>
      <c r="AMO10" s="195"/>
      <c r="AMP10" s="195"/>
      <c r="AMQ10" s="195"/>
      <c r="AMR10" s="195"/>
      <c r="AMS10" s="195"/>
      <c r="AMT10" s="195"/>
      <c r="AMU10" s="195"/>
      <c r="AMV10" s="195"/>
      <c r="AMW10" s="195"/>
      <c r="AMX10" s="195"/>
      <c r="AMY10" s="195"/>
      <c r="AMZ10" s="195"/>
      <c r="ANA10" s="195"/>
      <c r="ANB10" s="195"/>
      <c r="ANC10" s="195"/>
      <c r="AND10" s="195"/>
      <c r="ANE10" s="195"/>
      <c r="ANF10" s="195"/>
      <c r="ANG10" s="195"/>
      <c r="ANH10" s="195"/>
      <c r="ANI10" s="195"/>
      <c r="ANJ10" s="195"/>
      <c r="ANK10" s="195"/>
      <c r="ANL10" s="195"/>
      <c r="ANM10" s="195"/>
      <c r="ANN10" s="195"/>
      <c r="ANO10" s="195"/>
      <c r="ANP10" s="195"/>
      <c r="ANQ10" s="195"/>
      <c r="ANR10" s="195"/>
      <c r="ANS10" s="195"/>
      <c r="ANT10" s="195"/>
      <c r="ANU10" s="195"/>
      <c r="ANV10" s="195"/>
      <c r="ANW10" s="195"/>
      <c r="ANX10" s="195"/>
      <c r="ANY10" s="195"/>
      <c r="ANZ10" s="195"/>
      <c r="AOA10" s="195"/>
      <c r="AOB10" s="195"/>
      <c r="AOC10" s="195"/>
      <c r="AOD10" s="195"/>
      <c r="AOE10" s="195"/>
      <c r="AOF10" s="195"/>
      <c r="AOG10" s="195"/>
      <c r="AOH10" s="195"/>
      <c r="AOI10" s="195"/>
      <c r="AOJ10" s="195"/>
      <c r="AOK10" s="195"/>
      <c r="AOL10" s="195"/>
      <c r="AOM10" s="195"/>
      <c r="AON10" s="195"/>
      <c r="AOO10" s="195"/>
      <c r="AOP10" s="195"/>
      <c r="AOQ10" s="195"/>
      <c r="AOR10" s="195"/>
      <c r="AOS10" s="195"/>
      <c r="AOT10" s="195"/>
      <c r="AOU10" s="195"/>
      <c r="AOV10" s="195"/>
      <c r="AOW10" s="195"/>
      <c r="AOX10" s="195"/>
      <c r="AOY10" s="195"/>
      <c r="AOZ10" s="195"/>
      <c r="APA10" s="195"/>
      <c r="APB10" s="195"/>
      <c r="APC10" s="195"/>
      <c r="APD10" s="195"/>
      <c r="APE10" s="195"/>
      <c r="APF10" s="195"/>
      <c r="APG10" s="195"/>
      <c r="APH10" s="195"/>
      <c r="API10" s="195"/>
      <c r="APJ10" s="195"/>
      <c r="APK10" s="195"/>
      <c r="APL10" s="195"/>
      <c r="APM10" s="195"/>
      <c r="APN10" s="195"/>
      <c r="APO10" s="195"/>
      <c r="APP10" s="195"/>
      <c r="APQ10" s="195"/>
      <c r="APR10" s="195"/>
      <c r="APS10" s="195"/>
      <c r="APT10" s="195"/>
      <c r="APU10" s="195"/>
      <c r="APV10" s="195"/>
      <c r="APW10" s="195"/>
      <c r="APX10" s="195"/>
      <c r="APY10" s="195"/>
      <c r="APZ10" s="195"/>
      <c r="AQA10" s="195"/>
      <c r="AQB10" s="195"/>
      <c r="AQC10" s="195"/>
      <c r="AQD10" s="195"/>
      <c r="AQE10" s="195"/>
      <c r="AQF10" s="195"/>
      <c r="AQG10" s="195"/>
      <c r="AQH10" s="195"/>
      <c r="AQI10" s="195"/>
      <c r="AQJ10" s="195"/>
      <c r="AQK10" s="195"/>
      <c r="AQL10" s="195"/>
      <c r="AQM10" s="195"/>
      <c r="AQN10" s="195"/>
      <c r="AQO10" s="195"/>
      <c r="AQP10" s="195"/>
      <c r="AQQ10" s="195"/>
      <c r="AQR10" s="195"/>
      <c r="AQS10" s="195"/>
      <c r="AQT10" s="195"/>
      <c r="AQU10" s="195"/>
      <c r="AQV10" s="195"/>
      <c r="AQW10" s="195"/>
      <c r="AQX10" s="195"/>
      <c r="AQY10" s="195"/>
      <c r="AQZ10" s="195"/>
      <c r="ARA10" s="195"/>
      <c r="ARB10" s="195"/>
      <c r="ARC10" s="195"/>
      <c r="ARD10" s="195"/>
      <c r="ARE10" s="195"/>
      <c r="ARF10" s="195"/>
      <c r="ARG10" s="195"/>
      <c r="ARH10" s="195"/>
      <c r="ARI10" s="195"/>
      <c r="ARJ10" s="195"/>
      <c r="ARK10" s="195"/>
      <c r="ARL10" s="195"/>
      <c r="ARM10" s="195"/>
      <c r="ARN10" s="195"/>
      <c r="ARO10" s="195"/>
      <c r="ARP10" s="195"/>
      <c r="ARQ10" s="195"/>
      <c r="ARR10" s="195"/>
      <c r="ARS10" s="195"/>
      <c r="ART10" s="195"/>
      <c r="ARU10" s="195"/>
      <c r="ARV10" s="195"/>
      <c r="ARW10" s="195"/>
      <c r="ARX10" s="195"/>
      <c r="ARY10" s="195"/>
      <c r="ARZ10" s="195"/>
      <c r="ASA10" s="195"/>
      <c r="ASB10" s="195"/>
      <c r="ASC10" s="195"/>
      <c r="ASD10" s="195"/>
      <c r="ASE10" s="195"/>
      <c r="ASF10" s="195"/>
      <c r="ASG10" s="195"/>
      <c r="ASH10" s="195"/>
      <c r="ASI10" s="195"/>
      <c r="ASJ10" s="195"/>
      <c r="ASK10" s="195"/>
      <c r="ASL10" s="195"/>
      <c r="ASM10" s="195"/>
      <c r="ASN10" s="195"/>
      <c r="ASO10" s="195"/>
      <c r="ASP10" s="195"/>
      <c r="ASQ10" s="195"/>
      <c r="ASR10" s="195"/>
      <c r="ASS10" s="195"/>
      <c r="AST10" s="195"/>
      <c r="ASU10" s="195"/>
      <c r="ASV10" s="195"/>
      <c r="ASW10" s="195"/>
      <c r="ASX10" s="195"/>
      <c r="ASY10" s="195"/>
      <c r="ASZ10" s="195"/>
      <c r="ATA10" s="195"/>
      <c r="ATB10" s="195"/>
      <c r="ATC10" s="195"/>
      <c r="ATD10" s="195"/>
      <c r="ATE10" s="195"/>
      <c r="ATF10" s="195"/>
      <c r="ATG10" s="195"/>
      <c r="ATH10" s="195"/>
      <c r="ATI10" s="195"/>
      <c r="ATJ10" s="195"/>
      <c r="ATK10" s="195"/>
      <c r="ATL10" s="195"/>
      <c r="ATM10" s="195"/>
      <c r="ATN10" s="195"/>
      <c r="ATO10" s="195"/>
      <c r="ATP10" s="195"/>
      <c r="ATQ10" s="195"/>
      <c r="ATR10" s="195"/>
      <c r="ATS10" s="195"/>
      <c r="ATT10" s="195"/>
      <c r="ATU10" s="195"/>
      <c r="ATV10" s="195"/>
      <c r="ATW10" s="195"/>
      <c r="ATX10" s="195"/>
      <c r="ATY10" s="195"/>
      <c r="ATZ10" s="195"/>
      <c r="AUA10" s="195"/>
      <c r="AUB10" s="195"/>
      <c r="AUC10" s="195"/>
      <c r="AUD10" s="195"/>
      <c r="AUE10" s="195"/>
      <c r="AUF10" s="195"/>
      <c r="AUG10" s="195"/>
      <c r="AUH10" s="195"/>
      <c r="AUI10" s="195"/>
      <c r="AUJ10" s="195"/>
      <c r="AUK10" s="195"/>
      <c r="AUL10" s="195"/>
      <c r="AUM10" s="195"/>
      <c r="AUN10" s="195"/>
      <c r="AUO10" s="195"/>
      <c r="AUP10" s="195"/>
      <c r="AUQ10" s="195"/>
      <c r="AUR10" s="195"/>
      <c r="AUS10" s="195"/>
      <c r="AUT10" s="195"/>
      <c r="AUU10" s="195"/>
      <c r="AUV10" s="195"/>
      <c r="AUW10" s="195"/>
      <c r="AUX10" s="195"/>
      <c r="AUY10" s="195"/>
      <c r="AUZ10" s="195"/>
      <c r="AVA10" s="195"/>
      <c r="AVB10" s="195"/>
      <c r="AVC10" s="195"/>
      <c r="AVD10" s="195"/>
      <c r="AVE10" s="195"/>
      <c r="AVF10" s="195"/>
      <c r="AVG10" s="195"/>
      <c r="AVH10" s="195"/>
      <c r="AVI10" s="195"/>
      <c r="AVJ10" s="195"/>
      <c r="AVK10" s="195"/>
      <c r="AVL10" s="195"/>
      <c r="AVM10" s="195"/>
      <c r="AVN10" s="195"/>
      <c r="AVO10" s="195"/>
      <c r="AVP10" s="195"/>
      <c r="AVQ10" s="195"/>
      <c r="AVR10" s="195"/>
      <c r="AVS10" s="195"/>
      <c r="AVT10" s="195"/>
      <c r="AVU10" s="195"/>
      <c r="AVV10" s="195"/>
      <c r="AVW10" s="195"/>
      <c r="AVX10" s="195"/>
      <c r="AVY10" s="195"/>
      <c r="AVZ10" s="195"/>
      <c r="AWA10" s="195"/>
      <c r="AWB10" s="195"/>
      <c r="AWC10" s="195"/>
      <c r="AWD10" s="195"/>
      <c r="AWE10" s="195"/>
      <c r="AWF10" s="195"/>
      <c r="AWG10" s="195"/>
      <c r="AWH10" s="195"/>
      <c r="AWI10" s="195"/>
      <c r="AWJ10" s="195"/>
      <c r="AWK10" s="195"/>
      <c r="AWL10" s="195"/>
      <c r="AWM10" s="195"/>
      <c r="AWN10" s="195"/>
      <c r="AWO10" s="195"/>
      <c r="AWP10" s="195"/>
      <c r="AWQ10" s="195"/>
      <c r="AWR10" s="195"/>
      <c r="AWS10" s="195"/>
      <c r="AWT10" s="195"/>
      <c r="AWU10" s="195"/>
      <c r="AWV10" s="195"/>
      <c r="AWW10" s="195"/>
      <c r="AWX10" s="195"/>
      <c r="AWY10" s="195"/>
      <c r="AWZ10" s="195"/>
      <c r="AXA10" s="195"/>
      <c r="AXB10" s="195"/>
      <c r="AXC10" s="195"/>
      <c r="AXD10" s="195"/>
      <c r="AXE10" s="195"/>
      <c r="AXF10" s="195"/>
      <c r="AXG10" s="195"/>
      <c r="AXH10" s="195"/>
      <c r="AXI10" s="195"/>
      <c r="AXJ10" s="195"/>
      <c r="AXK10" s="195"/>
      <c r="AXL10" s="195"/>
      <c r="AXM10" s="195"/>
      <c r="AXN10" s="195"/>
      <c r="AXO10" s="195"/>
      <c r="AXP10" s="195"/>
      <c r="AXQ10" s="195"/>
      <c r="AXR10" s="195"/>
      <c r="AXS10" s="195"/>
      <c r="AXT10" s="195"/>
      <c r="AXU10" s="195"/>
      <c r="AXV10" s="195"/>
      <c r="AXW10" s="195"/>
      <c r="AXX10" s="195"/>
      <c r="AXY10" s="195"/>
      <c r="AXZ10" s="195"/>
      <c r="AYA10" s="195"/>
      <c r="AYB10" s="195"/>
      <c r="AYC10" s="195"/>
      <c r="AYD10" s="195"/>
      <c r="AYE10" s="195"/>
      <c r="AYF10" s="195"/>
      <c r="AYG10" s="195"/>
      <c r="AYH10" s="195"/>
      <c r="AYI10" s="195"/>
      <c r="AYJ10" s="195"/>
      <c r="AYK10" s="195"/>
      <c r="AYL10" s="195"/>
      <c r="AYM10" s="195"/>
      <c r="AYN10" s="195"/>
      <c r="AYO10" s="195"/>
      <c r="AYP10" s="195"/>
      <c r="AYQ10" s="195"/>
      <c r="AYR10" s="195"/>
      <c r="AYS10" s="195"/>
      <c r="AYT10" s="195"/>
      <c r="AYU10" s="195"/>
      <c r="AYV10" s="195"/>
      <c r="AYW10" s="195"/>
      <c r="AYX10" s="195"/>
      <c r="AYY10" s="195"/>
      <c r="AYZ10" s="195"/>
      <c r="AZA10" s="195"/>
      <c r="AZB10" s="195"/>
      <c r="AZC10" s="195"/>
      <c r="AZD10" s="195"/>
      <c r="AZE10" s="195"/>
      <c r="AZF10" s="195"/>
      <c r="AZG10" s="195"/>
      <c r="AZH10" s="195"/>
      <c r="AZI10" s="195"/>
      <c r="AZJ10" s="195"/>
      <c r="AZK10" s="195"/>
      <c r="AZL10" s="195"/>
      <c r="AZM10" s="195"/>
      <c r="AZN10" s="195"/>
      <c r="AZO10" s="195"/>
      <c r="AZP10" s="195"/>
      <c r="AZQ10" s="195"/>
      <c r="AZR10" s="195"/>
      <c r="AZS10" s="195"/>
      <c r="AZT10" s="195"/>
      <c r="AZU10" s="195"/>
      <c r="AZV10" s="195"/>
      <c r="AZW10" s="195"/>
      <c r="AZX10" s="195"/>
      <c r="AZY10" s="195"/>
      <c r="AZZ10" s="195"/>
      <c r="BAA10" s="195"/>
      <c r="BAB10" s="195"/>
      <c r="BAC10" s="195"/>
      <c r="BAD10" s="195"/>
      <c r="BAE10" s="195"/>
      <c r="BAF10" s="195"/>
      <c r="BAG10" s="195"/>
      <c r="BAH10" s="195"/>
      <c r="BAI10" s="195"/>
      <c r="BAJ10" s="195"/>
      <c r="BAK10" s="195"/>
      <c r="BAL10" s="195"/>
      <c r="BAM10" s="195"/>
      <c r="BAN10" s="195"/>
      <c r="BAO10" s="195"/>
      <c r="BAP10" s="195"/>
      <c r="BAQ10" s="195"/>
      <c r="BAR10" s="195"/>
      <c r="BAS10" s="195"/>
      <c r="BAT10" s="195"/>
      <c r="BAU10" s="195"/>
      <c r="BAV10" s="195"/>
      <c r="BAW10" s="195"/>
      <c r="BAX10" s="195"/>
      <c r="BAY10" s="195"/>
      <c r="BAZ10" s="195"/>
      <c r="BBA10" s="195"/>
      <c r="BBB10" s="195"/>
      <c r="BBC10" s="195"/>
      <c r="BBD10" s="195"/>
      <c r="BBE10" s="195"/>
      <c r="BBF10" s="195"/>
      <c r="BBG10" s="195"/>
      <c r="BBH10" s="195"/>
      <c r="BBI10" s="195"/>
      <c r="BBJ10" s="195"/>
      <c r="BBK10" s="195"/>
      <c r="BBL10" s="195"/>
      <c r="BBM10" s="195"/>
      <c r="BBN10" s="195"/>
      <c r="BBO10" s="195"/>
      <c r="BBP10" s="195"/>
      <c r="BBQ10" s="195"/>
      <c r="BBR10" s="195"/>
      <c r="BBS10" s="195"/>
      <c r="BBT10" s="195"/>
      <c r="BBU10" s="195"/>
      <c r="BBV10" s="195"/>
      <c r="BBW10" s="195"/>
      <c r="BBX10" s="195"/>
      <c r="BBY10" s="195"/>
      <c r="BBZ10" s="195"/>
      <c r="BCA10" s="195"/>
      <c r="BCB10" s="195"/>
      <c r="BCC10" s="195"/>
      <c r="BCD10" s="195"/>
      <c r="BCE10" s="195"/>
      <c r="BCF10" s="195"/>
      <c r="BCG10" s="195"/>
      <c r="BCH10" s="195"/>
      <c r="BCI10" s="195"/>
      <c r="BCJ10" s="195"/>
      <c r="BCK10" s="195"/>
      <c r="BCL10" s="195"/>
      <c r="BCM10" s="195"/>
      <c r="BCN10" s="195"/>
      <c r="BCO10" s="195"/>
      <c r="BCP10" s="195"/>
      <c r="BCQ10" s="195"/>
      <c r="BCR10" s="195"/>
      <c r="BCS10" s="195"/>
      <c r="BCT10" s="195"/>
      <c r="BCU10" s="195"/>
      <c r="BCV10" s="195"/>
      <c r="BCW10" s="195"/>
      <c r="BCX10" s="195"/>
      <c r="BCY10" s="195"/>
      <c r="BCZ10" s="195"/>
      <c r="BDA10" s="195"/>
      <c r="BDB10" s="195"/>
      <c r="BDC10" s="195"/>
      <c r="BDD10" s="195"/>
      <c r="BDE10" s="195"/>
      <c r="BDF10" s="195"/>
      <c r="BDG10" s="195"/>
      <c r="BDH10" s="195"/>
      <c r="BDI10" s="195"/>
      <c r="BDJ10" s="195"/>
      <c r="BDK10" s="195"/>
      <c r="BDL10" s="195"/>
      <c r="BDM10" s="195"/>
      <c r="BDN10" s="195"/>
      <c r="BDO10" s="195"/>
      <c r="BDP10" s="195"/>
      <c r="BDQ10" s="195"/>
      <c r="BDR10" s="195"/>
      <c r="BDS10" s="195"/>
      <c r="BDT10" s="195"/>
      <c r="BDU10" s="195"/>
      <c r="BDV10" s="195"/>
      <c r="BDW10" s="195"/>
      <c r="BDX10" s="195"/>
      <c r="BDY10" s="195"/>
      <c r="BDZ10" s="195"/>
      <c r="BEA10" s="195"/>
      <c r="BEB10" s="195"/>
      <c r="BEC10" s="195"/>
      <c r="BED10" s="195"/>
      <c r="BEE10" s="195"/>
      <c r="BEF10" s="195"/>
      <c r="BEG10" s="195"/>
      <c r="BEH10" s="195"/>
      <c r="BEI10" s="195"/>
      <c r="BEJ10" s="195"/>
      <c r="BEK10" s="195"/>
      <c r="BEL10" s="195"/>
      <c r="BEM10" s="195"/>
      <c r="BEN10" s="195"/>
      <c r="BEO10" s="195"/>
      <c r="BEP10" s="195"/>
      <c r="BEQ10" s="195"/>
      <c r="BER10" s="195"/>
      <c r="BES10" s="195"/>
      <c r="BET10" s="195"/>
      <c r="BEU10" s="195"/>
      <c r="BEV10" s="195"/>
      <c r="BEW10" s="195"/>
      <c r="BEX10" s="195"/>
      <c r="BEY10" s="195"/>
      <c r="BEZ10" s="195"/>
      <c r="BFA10" s="195"/>
      <c r="BFB10" s="195"/>
      <c r="BFC10" s="195"/>
      <c r="BFD10" s="195"/>
      <c r="BFE10" s="195"/>
      <c r="BFF10" s="195"/>
      <c r="BFG10" s="195"/>
      <c r="BFH10" s="195"/>
      <c r="BFI10" s="195"/>
      <c r="BFJ10" s="195"/>
      <c r="BFK10" s="195"/>
      <c r="BFL10" s="195"/>
      <c r="BFM10" s="195"/>
      <c r="BFN10" s="195"/>
      <c r="BFO10" s="195"/>
      <c r="BFP10" s="195"/>
      <c r="BFQ10" s="195"/>
      <c r="BFR10" s="195"/>
      <c r="BFS10" s="195"/>
      <c r="BFT10" s="195"/>
      <c r="BFU10" s="195"/>
      <c r="BFV10" s="195"/>
      <c r="BFW10" s="195"/>
      <c r="BFX10" s="195"/>
      <c r="BFY10" s="195"/>
      <c r="BFZ10" s="195"/>
      <c r="BGA10" s="195"/>
      <c r="BGB10" s="195"/>
      <c r="BGC10" s="195"/>
      <c r="BGD10" s="195"/>
      <c r="BGE10" s="195"/>
      <c r="BGF10" s="195"/>
      <c r="BGG10" s="195"/>
      <c r="BGH10" s="195"/>
      <c r="BGI10" s="195"/>
      <c r="BGJ10" s="195"/>
      <c r="BGK10" s="195"/>
      <c r="BGL10" s="195"/>
      <c r="BGM10" s="195"/>
      <c r="BGN10" s="195"/>
      <c r="BGO10" s="195"/>
      <c r="BGP10" s="195"/>
      <c r="BGQ10" s="195"/>
      <c r="BGR10" s="195"/>
      <c r="BGS10" s="195"/>
      <c r="BGT10" s="195"/>
      <c r="BGU10" s="195"/>
      <c r="BGV10" s="195"/>
      <c r="BGW10" s="195"/>
      <c r="BGX10" s="195"/>
      <c r="BGY10" s="195"/>
      <c r="BGZ10" s="195"/>
      <c r="BHA10" s="195"/>
      <c r="BHB10" s="195"/>
      <c r="BHC10" s="195"/>
      <c r="BHD10" s="195"/>
      <c r="BHE10" s="195"/>
      <c r="BHF10" s="195"/>
      <c r="BHG10" s="195"/>
      <c r="BHH10" s="195"/>
      <c r="BHI10" s="195"/>
      <c r="BHJ10" s="195"/>
      <c r="BHK10" s="195"/>
      <c r="BHL10" s="195"/>
      <c r="BHM10" s="195"/>
      <c r="BHN10" s="195"/>
      <c r="BHO10" s="195"/>
      <c r="BHP10" s="195"/>
      <c r="BHQ10" s="195"/>
      <c r="BHR10" s="195"/>
      <c r="BHS10" s="195"/>
      <c r="BHT10" s="195"/>
      <c r="BHU10" s="195"/>
      <c r="BHV10" s="195"/>
      <c r="BHW10" s="195"/>
      <c r="BHX10" s="195"/>
      <c r="BHY10" s="195"/>
      <c r="BHZ10" s="195"/>
      <c r="BIA10" s="195"/>
      <c r="BIB10" s="195"/>
      <c r="BIC10" s="195"/>
      <c r="BID10" s="195"/>
      <c r="BIE10" s="195"/>
      <c r="BIF10" s="195"/>
      <c r="BIG10" s="195"/>
      <c r="BIH10" s="195"/>
      <c r="BII10" s="195"/>
      <c r="BIJ10" s="195"/>
      <c r="BIK10" s="195"/>
      <c r="BIL10" s="195"/>
      <c r="BIM10" s="195"/>
      <c r="BIN10" s="195"/>
      <c r="BIO10" s="195"/>
      <c r="BIP10" s="195"/>
      <c r="BIQ10" s="195"/>
      <c r="BIR10" s="195"/>
      <c r="BIS10" s="195"/>
      <c r="BIT10" s="195"/>
      <c r="BIU10" s="195"/>
      <c r="BIV10" s="195"/>
      <c r="BIW10" s="195"/>
      <c r="BIX10" s="195"/>
      <c r="BIY10" s="195"/>
      <c r="BIZ10" s="195"/>
      <c r="BJA10" s="195"/>
      <c r="BJB10" s="195"/>
      <c r="BJC10" s="195"/>
      <c r="BJD10" s="195"/>
      <c r="BJE10" s="195"/>
      <c r="BJF10" s="195"/>
      <c r="BJG10" s="195"/>
      <c r="BJH10" s="195"/>
      <c r="BJI10" s="195"/>
      <c r="BJJ10" s="195"/>
      <c r="BJK10" s="195"/>
      <c r="BJL10" s="195"/>
      <c r="BJM10" s="195"/>
      <c r="BJN10" s="195"/>
      <c r="BJO10" s="195"/>
      <c r="BJP10" s="195"/>
      <c r="BJQ10" s="195"/>
      <c r="BJR10" s="195"/>
      <c r="BJS10" s="195"/>
      <c r="BJT10" s="195"/>
      <c r="BJU10" s="195"/>
      <c r="BJV10" s="195"/>
      <c r="BJW10" s="195"/>
      <c r="BJX10" s="195"/>
      <c r="BJY10" s="195"/>
      <c r="BJZ10" s="195"/>
      <c r="BKA10" s="195"/>
      <c r="BKB10" s="195"/>
      <c r="BKC10" s="195"/>
      <c r="BKD10" s="195"/>
      <c r="BKE10" s="195"/>
      <c r="BKF10" s="195"/>
      <c r="BKG10" s="195"/>
      <c r="BKH10" s="195"/>
      <c r="BKI10" s="195"/>
      <c r="BKJ10" s="195"/>
      <c r="BKK10" s="195"/>
      <c r="BKL10" s="195"/>
      <c r="BKM10" s="195"/>
      <c r="BKN10" s="195"/>
      <c r="BKO10" s="195"/>
      <c r="BKP10" s="195"/>
      <c r="BKQ10" s="195"/>
      <c r="BKR10" s="195"/>
      <c r="BKS10" s="195"/>
      <c r="BKT10" s="195"/>
      <c r="BKU10" s="195"/>
      <c r="BKV10" s="195"/>
      <c r="BKW10" s="195"/>
      <c r="BKX10" s="195"/>
      <c r="BKY10" s="195"/>
      <c r="BKZ10" s="195"/>
      <c r="BLA10" s="195"/>
      <c r="BLB10" s="195"/>
      <c r="BLC10" s="195"/>
      <c r="BLD10" s="195"/>
      <c r="BLE10" s="195"/>
      <c r="BLF10" s="195"/>
      <c r="BLG10" s="195"/>
      <c r="BLH10" s="195"/>
      <c r="BLI10" s="195"/>
      <c r="BLJ10" s="195"/>
      <c r="BLK10" s="195"/>
      <c r="BLL10" s="195"/>
      <c r="BLM10" s="195"/>
      <c r="BLN10" s="195"/>
      <c r="BLO10" s="195"/>
      <c r="BLP10" s="195"/>
      <c r="BLQ10" s="195"/>
      <c r="BLR10" s="195"/>
      <c r="BLS10" s="195"/>
      <c r="BLT10" s="195"/>
      <c r="BLU10" s="195"/>
      <c r="BLV10" s="195"/>
      <c r="BLW10" s="195"/>
      <c r="BLX10" s="195"/>
      <c r="BLY10" s="195"/>
      <c r="BLZ10" s="195"/>
      <c r="BMA10" s="195"/>
      <c r="BMB10" s="195"/>
      <c r="BMC10" s="195"/>
      <c r="BMD10" s="195"/>
      <c r="BME10" s="195"/>
      <c r="BMF10" s="195"/>
      <c r="BMG10" s="195"/>
      <c r="BMH10" s="195"/>
      <c r="BMI10" s="195"/>
      <c r="BMJ10" s="195"/>
      <c r="BMK10" s="195"/>
      <c r="BML10" s="195"/>
      <c r="BMM10" s="195"/>
      <c r="BMN10" s="195"/>
      <c r="BMO10" s="195"/>
      <c r="BMP10" s="195"/>
      <c r="BMQ10" s="195"/>
      <c r="BMR10" s="195"/>
      <c r="BMS10" s="195"/>
      <c r="BMT10" s="195"/>
      <c r="BMU10" s="195"/>
      <c r="BMV10" s="195"/>
      <c r="BMW10" s="195"/>
      <c r="BMX10" s="195"/>
      <c r="BMY10" s="195"/>
      <c r="BMZ10" s="195"/>
      <c r="BNA10" s="195"/>
      <c r="BNB10" s="195"/>
      <c r="BNC10" s="195"/>
      <c r="BND10" s="195"/>
      <c r="BNE10" s="195"/>
      <c r="BNF10" s="195"/>
      <c r="BNG10" s="195"/>
      <c r="BNH10" s="195"/>
      <c r="BNI10" s="195"/>
      <c r="BNJ10" s="195"/>
      <c r="BNK10" s="195"/>
      <c r="BNL10" s="195"/>
      <c r="BNM10" s="195"/>
      <c r="BNN10" s="195"/>
      <c r="BNO10" s="195"/>
      <c r="BNP10" s="195"/>
      <c r="BNQ10" s="195"/>
      <c r="BNR10" s="195"/>
      <c r="BNS10" s="195"/>
      <c r="BNT10" s="195"/>
      <c r="BNU10" s="195"/>
      <c r="BNV10" s="195"/>
      <c r="BNW10" s="195"/>
      <c r="BNX10" s="195"/>
      <c r="BNY10" s="195"/>
      <c r="BNZ10" s="195"/>
      <c r="BOA10" s="195"/>
      <c r="BOB10" s="195"/>
      <c r="BOC10" s="195"/>
      <c r="BOD10" s="90"/>
    </row>
    <row r="11" spans="1:1746" ht="20.100000000000001" customHeight="1" x14ac:dyDescent="0.25">
      <c r="B11" s="96"/>
      <c r="C11" s="223"/>
      <c r="D11" s="223"/>
      <c r="E11" s="223"/>
      <c r="F11" s="219" t="s">
        <v>114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 t="s">
        <v>114</v>
      </c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196" t="s">
        <v>113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 t="s">
        <v>113</v>
      </c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 t="s">
        <v>111</v>
      </c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 t="s">
        <v>108</v>
      </c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 t="s">
        <v>108</v>
      </c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 t="s">
        <v>105</v>
      </c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 t="s">
        <v>105</v>
      </c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 t="s">
        <v>102</v>
      </c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 t="s">
        <v>102</v>
      </c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 t="s">
        <v>99</v>
      </c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 t="s">
        <v>99</v>
      </c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 t="s">
        <v>96</v>
      </c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 t="s">
        <v>96</v>
      </c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 t="s">
        <v>94</v>
      </c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 t="s">
        <v>91</v>
      </c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 t="s">
        <v>91</v>
      </c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 t="s">
        <v>88</v>
      </c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  <c r="APQ11" s="196"/>
      <c r="APR11" s="196"/>
      <c r="APS11" s="196"/>
      <c r="APT11" s="196"/>
      <c r="APU11" s="196"/>
      <c r="APV11" s="196"/>
      <c r="APW11" s="196"/>
      <c r="APX11" s="196"/>
      <c r="APY11" s="196"/>
      <c r="APZ11" s="196"/>
      <c r="AQA11" s="196"/>
      <c r="AQB11" s="196"/>
      <c r="AQC11" s="196"/>
      <c r="AQD11" s="196"/>
      <c r="AQE11" s="196"/>
      <c r="AQF11" s="196"/>
      <c r="AQG11" s="196"/>
      <c r="AQH11" s="196"/>
      <c r="AQI11" s="196"/>
      <c r="AQJ11" s="196"/>
      <c r="AQK11" s="196"/>
      <c r="AQL11" s="196"/>
      <c r="AQM11" s="196"/>
      <c r="AQN11" s="196"/>
      <c r="AQO11" s="196"/>
      <c r="AQP11" s="196"/>
      <c r="AQQ11" s="196"/>
      <c r="AQR11" s="196"/>
      <c r="AQS11" s="196"/>
      <c r="AQT11" s="196"/>
      <c r="AQU11" s="196"/>
      <c r="AQV11" s="196"/>
      <c r="AQW11" s="196"/>
      <c r="AQX11" s="196"/>
      <c r="AQY11" s="196"/>
      <c r="AQZ11" s="196"/>
      <c r="ARA11" s="196"/>
      <c r="ARB11" s="196" t="s">
        <v>88</v>
      </c>
      <c r="ARC11" s="196"/>
      <c r="ARD11" s="196"/>
      <c r="ARE11" s="196"/>
      <c r="ARF11" s="196"/>
      <c r="ARG11" s="196"/>
      <c r="ARH11" s="196"/>
      <c r="ARI11" s="196"/>
      <c r="ARJ11" s="196"/>
      <c r="ARK11" s="196"/>
      <c r="ARL11" s="196"/>
      <c r="ARM11" s="196"/>
      <c r="ARN11" s="196"/>
      <c r="ARO11" s="196"/>
      <c r="ARP11" s="196"/>
      <c r="ARQ11" s="196"/>
      <c r="ARR11" s="196"/>
      <c r="ARS11" s="196"/>
      <c r="ART11" s="196"/>
      <c r="ARU11" s="196"/>
      <c r="ARV11" s="196"/>
      <c r="ARW11" s="196"/>
      <c r="ARX11" s="196"/>
      <c r="ARY11" s="196"/>
      <c r="ARZ11" s="196"/>
      <c r="ASA11" s="196"/>
      <c r="ASB11" s="196"/>
      <c r="ASC11" s="196"/>
      <c r="ASD11" s="196"/>
      <c r="ASE11" s="196"/>
      <c r="ASF11" s="196"/>
      <c r="ASG11" s="196"/>
      <c r="ASH11" s="196"/>
      <c r="ASI11" s="196"/>
      <c r="ASJ11" s="196"/>
      <c r="ASK11" s="196"/>
      <c r="ASL11" s="196"/>
      <c r="ASM11" s="196"/>
      <c r="ASN11" s="196"/>
      <c r="ASO11" s="196"/>
      <c r="ASP11" s="196"/>
      <c r="ASQ11" s="196"/>
      <c r="ASR11" s="196"/>
      <c r="ASS11" s="196"/>
      <c r="AST11" s="196"/>
      <c r="ASU11" s="196"/>
      <c r="ASV11" s="196"/>
      <c r="ASW11" s="196"/>
      <c r="ASX11" s="196"/>
      <c r="ASY11" s="196"/>
      <c r="ASZ11" s="196"/>
      <c r="ATA11" s="196"/>
      <c r="ATB11" s="196"/>
      <c r="ATC11" s="196"/>
      <c r="ATD11" s="196"/>
      <c r="ATE11" s="196"/>
      <c r="ATF11" s="196"/>
      <c r="ATG11" s="196"/>
      <c r="ATH11" s="196"/>
      <c r="ATI11" s="196"/>
      <c r="ATJ11" s="196" t="s">
        <v>86</v>
      </c>
      <c r="ATK11" s="196"/>
      <c r="ATL11" s="196"/>
      <c r="ATM11" s="196"/>
      <c r="ATN11" s="196"/>
      <c r="ATO11" s="196"/>
      <c r="ATP11" s="196"/>
      <c r="ATQ11" s="196"/>
      <c r="ATR11" s="196"/>
      <c r="ATS11" s="196"/>
      <c r="ATT11" s="196"/>
      <c r="ATU11" s="196"/>
      <c r="ATV11" s="196"/>
      <c r="ATW11" s="196"/>
      <c r="ATX11" s="196"/>
      <c r="ATY11" s="196"/>
      <c r="ATZ11" s="196"/>
      <c r="AUA11" s="196"/>
      <c r="AUB11" s="196"/>
      <c r="AUC11" s="196"/>
      <c r="AUD11" s="196"/>
      <c r="AUE11" s="196"/>
      <c r="AUF11" s="196"/>
      <c r="AUG11" s="196"/>
      <c r="AUH11" s="196"/>
      <c r="AUI11" s="196"/>
      <c r="AUJ11" s="196"/>
      <c r="AUK11" s="196"/>
      <c r="AUL11" s="196"/>
      <c r="AUM11" s="196"/>
      <c r="AUN11" s="196"/>
      <c r="AUO11" s="196"/>
      <c r="AUP11" s="196"/>
      <c r="AUQ11" s="196"/>
      <c r="AUR11" s="196"/>
      <c r="AUS11" s="196"/>
      <c r="AUT11" s="196"/>
      <c r="AUU11" s="196"/>
      <c r="AUV11" s="196"/>
      <c r="AUW11" s="196"/>
      <c r="AUX11" s="196"/>
      <c r="AUY11" s="196"/>
      <c r="AUZ11" s="196"/>
      <c r="AVA11" s="196"/>
      <c r="AVB11" s="196"/>
      <c r="AVC11" s="196"/>
      <c r="AVD11" s="196"/>
      <c r="AVE11" s="196"/>
      <c r="AVF11" s="196"/>
      <c r="AVG11" s="196"/>
      <c r="AVH11" s="196"/>
      <c r="AVI11" s="196"/>
      <c r="AVJ11" s="196"/>
      <c r="AVK11" s="196"/>
      <c r="AVL11" s="196"/>
      <c r="AVM11" s="196"/>
      <c r="AVN11" s="196"/>
      <c r="AVO11" s="196"/>
      <c r="AVP11" s="196"/>
      <c r="AVQ11" s="196"/>
      <c r="AVR11" s="196" t="s">
        <v>83</v>
      </c>
      <c r="AVS11" s="196"/>
      <c r="AVT11" s="196"/>
      <c r="AVU11" s="196"/>
      <c r="AVV11" s="196"/>
      <c r="AVW11" s="196"/>
      <c r="AVX11" s="196"/>
      <c r="AVY11" s="196"/>
      <c r="AVZ11" s="196"/>
      <c r="AWA11" s="196"/>
      <c r="AWB11" s="196"/>
      <c r="AWC11" s="196"/>
      <c r="AWD11" s="196"/>
      <c r="AWE11" s="196"/>
      <c r="AWF11" s="196"/>
      <c r="AWG11" s="196"/>
      <c r="AWH11" s="196"/>
      <c r="AWI11" s="196"/>
      <c r="AWJ11" s="196"/>
      <c r="AWK11" s="196"/>
      <c r="AWL11" s="196"/>
      <c r="AWM11" s="196"/>
      <c r="AWN11" s="196"/>
      <c r="AWO11" s="196"/>
      <c r="AWP11" s="196"/>
      <c r="AWQ11" s="196"/>
      <c r="AWR11" s="196"/>
      <c r="AWS11" s="196"/>
      <c r="AWT11" s="196"/>
      <c r="AWU11" s="196"/>
      <c r="AWV11" s="196"/>
      <c r="AWW11" s="196"/>
      <c r="AWX11" s="196"/>
      <c r="AWY11" s="196"/>
      <c r="AWZ11" s="196"/>
      <c r="AXA11" s="196"/>
      <c r="AXB11" s="196"/>
      <c r="AXC11" s="196"/>
      <c r="AXD11" s="196"/>
      <c r="AXE11" s="196"/>
      <c r="AXF11" s="196"/>
      <c r="AXG11" s="196"/>
      <c r="AXH11" s="196"/>
      <c r="AXI11" s="196"/>
      <c r="AXJ11" s="196"/>
      <c r="AXK11" s="196"/>
      <c r="AXL11" s="196"/>
      <c r="AXM11" s="196"/>
      <c r="AXN11" s="196"/>
      <c r="AXO11" s="196"/>
      <c r="AXP11" s="196"/>
      <c r="AXQ11" s="196"/>
      <c r="AXR11" s="196"/>
      <c r="AXS11" s="196"/>
      <c r="AXT11" s="196"/>
      <c r="AXU11" s="196"/>
      <c r="AXV11" s="196"/>
      <c r="AXW11" s="196"/>
      <c r="AXX11" s="196"/>
      <c r="AXY11" s="196"/>
      <c r="AXZ11" s="196" t="s">
        <v>83</v>
      </c>
      <c r="AYA11" s="196"/>
      <c r="AYB11" s="196"/>
      <c r="AYC11" s="196"/>
      <c r="AYD11" s="196"/>
      <c r="AYE11" s="196"/>
      <c r="AYF11" s="196"/>
      <c r="AYG11" s="196"/>
      <c r="AYH11" s="196"/>
      <c r="AYI11" s="196"/>
      <c r="AYJ11" s="196"/>
      <c r="AYK11" s="196"/>
      <c r="AYL11" s="196"/>
      <c r="AYM11" s="196"/>
      <c r="AYN11" s="196"/>
      <c r="AYO11" s="196"/>
      <c r="AYP11" s="196"/>
      <c r="AYQ11" s="196"/>
      <c r="AYR11" s="196"/>
      <c r="AYS11" s="196"/>
      <c r="AYT11" s="196"/>
      <c r="AYU11" s="196"/>
      <c r="AYV11" s="196"/>
      <c r="AYW11" s="196"/>
      <c r="AYX11" s="196"/>
      <c r="AYY11" s="196"/>
      <c r="AYZ11" s="196"/>
      <c r="AZA11" s="196"/>
      <c r="AZB11" s="196"/>
      <c r="AZC11" s="196"/>
      <c r="AZD11" s="196"/>
      <c r="AZE11" s="196"/>
      <c r="AZF11" s="196"/>
      <c r="AZG11" s="196"/>
      <c r="AZH11" s="196"/>
      <c r="AZI11" s="196"/>
      <c r="AZJ11" s="196"/>
      <c r="AZK11" s="196"/>
      <c r="AZL11" s="196"/>
      <c r="AZM11" s="196"/>
      <c r="AZN11" s="196"/>
      <c r="AZO11" s="196"/>
      <c r="AZP11" s="196"/>
      <c r="AZQ11" s="196"/>
      <c r="AZR11" s="196"/>
      <c r="AZS11" s="196"/>
      <c r="AZT11" s="196"/>
      <c r="AZU11" s="196"/>
      <c r="AZV11" s="196"/>
      <c r="AZW11" s="196"/>
      <c r="AZX11" s="196"/>
      <c r="AZY11" s="196"/>
      <c r="AZZ11" s="196"/>
      <c r="BAA11" s="196"/>
      <c r="BAB11" s="196"/>
      <c r="BAC11" s="196"/>
      <c r="BAD11" s="196"/>
      <c r="BAE11" s="196"/>
      <c r="BAF11" s="196"/>
      <c r="BAG11" s="196"/>
      <c r="BAH11" s="196" t="s">
        <v>80</v>
      </c>
      <c r="BAI11" s="196"/>
      <c r="BAJ11" s="196"/>
      <c r="BAK11" s="196"/>
      <c r="BAL11" s="196"/>
      <c r="BAM11" s="196"/>
      <c r="BAN11" s="196"/>
      <c r="BAO11" s="196"/>
      <c r="BAP11" s="196"/>
      <c r="BAQ11" s="196"/>
      <c r="BAR11" s="196"/>
      <c r="BAS11" s="196"/>
      <c r="BAT11" s="196"/>
      <c r="BAU11" s="196"/>
      <c r="BAV11" s="196"/>
      <c r="BAW11" s="196"/>
      <c r="BAX11" s="196"/>
      <c r="BAY11" s="196"/>
      <c r="BAZ11" s="196"/>
      <c r="BBA11" s="196"/>
      <c r="BBB11" s="196"/>
      <c r="BBC11" s="196"/>
      <c r="BBD11" s="196"/>
      <c r="BBE11" s="196"/>
      <c r="BBF11" s="196"/>
      <c r="BBG11" s="196"/>
      <c r="BBH11" s="196"/>
      <c r="BBI11" s="196"/>
      <c r="BBJ11" s="196"/>
      <c r="BBK11" s="196"/>
      <c r="BBL11" s="196"/>
      <c r="BBM11" s="196"/>
      <c r="BBN11" s="196"/>
      <c r="BBO11" s="196"/>
      <c r="BBP11" s="196"/>
      <c r="BBQ11" s="196"/>
      <c r="BBR11" s="196"/>
      <c r="BBS11" s="196"/>
      <c r="BBT11" s="196"/>
      <c r="BBU11" s="196"/>
      <c r="BBV11" s="196"/>
      <c r="BBW11" s="196"/>
      <c r="BBX11" s="196"/>
      <c r="BBY11" s="196"/>
      <c r="BBZ11" s="196"/>
      <c r="BCA11" s="196"/>
      <c r="BCB11" s="196"/>
      <c r="BCC11" s="196"/>
      <c r="BCD11" s="196"/>
      <c r="BCE11" s="196"/>
      <c r="BCF11" s="196"/>
      <c r="BCG11" s="196"/>
      <c r="BCH11" s="196"/>
      <c r="BCI11" s="196"/>
      <c r="BCJ11" s="196"/>
      <c r="BCK11" s="196"/>
      <c r="BCL11" s="196"/>
      <c r="BCM11" s="196"/>
      <c r="BCN11" s="196"/>
      <c r="BCO11" s="196"/>
      <c r="BCP11" s="196" t="s">
        <v>80</v>
      </c>
      <c r="BCQ11" s="196"/>
      <c r="BCR11" s="196"/>
      <c r="BCS11" s="196"/>
      <c r="BCT11" s="196"/>
      <c r="BCU11" s="196"/>
      <c r="BCV11" s="196"/>
      <c r="BCW11" s="196"/>
      <c r="BCX11" s="196"/>
      <c r="BCY11" s="196"/>
      <c r="BCZ11" s="196"/>
      <c r="BDA11" s="196"/>
      <c r="BDB11" s="196"/>
      <c r="BDC11" s="196"/>
      <c r="BDD11" s="196"/>
      <c r="BDE11" s="196"/>
      <c r="BDF11" s="196"/>
      <c r="BDG11" s="196"/>
      <c r="BDH11" s="196"/>
      <c r="BDI11" s="196"/>
      <c r="BDJ11" s="196"/>
      <c r="BDK11" s="196"/>
      <c r="BDL11" s="196"/>
      <c r="BDM11" s="196"/>
      <c r="BDN11" s="196"/>
      <c r="BDO11" s="196"/>
      <c r="BDP11" s="196"/>
      <c r="BDQ11" s="196"/>
      <c r="BDR11" s="196"/>
      <c r="BDS11" s="196"/>
      <c r="BDT11" s="196"/>
      <c r="BDU11" s="196"/>
      <c r="BDV11" s="196"/>
      <c r="BDW11" s="196"/>
      <c r="BDX11" s="196"/>
      <c r="BDY11" s="196"/>
      <c r="BDZ11" s="196"/>
      <c r="BEA11" s="196"/>
      <c r="BEB11" s="196"/>
      <c r="BEC11" s="196"/>
      <c r="BED11" s="196"/>
      <c r="BEE11" s="196"/>
      <c r="BEF11" s="196"/>
      <c r="BEG11" s="196"/>
      <c r="BEH11" s="196"/>
      <c r="BEI11" s="196"/>
      <c r="BEJ11" s="196"/>
      <c r="BEK11" s="196"/>
      <c r="BEL11" s="196"/>
      <c r="BEM11" s="196"/>
      <c r="BEN11" s="196"/>
      <c r="BEO11" s="196"/>
      <c r="BEP11" s="196"/>
      <c r="BEQ11" s="196"/>
      <c r="BER11" s="196"/>
      <c r="BES11" s="196"/>
      <c r="BET11" s="196"/>
      <c r="BEU11" s="196"/>
      <c r="BEV11" s="196"/>
      <c r="BEW11" s="196"/>
      <c r="BEX11" s="196" t="s">
        <v>77</v>
      </c>
      <c r="BEY11" s="196"/>
      <c r="BEZ11" s="196"/>
      <c r="BFA11" s="196"/>
      <c r="BFB11" s="196"/>
      <c r="BFC11" s="196"/>
      <c r="BFD11" s="196"/>
      <c r="BFE11" s="196"/>
      <c r="BFF11" s="196"/>
      <c r="BFG11" s="196"/>
      <c r="BFH11" s="196"/>
      <c r="BFI11" s="196"/>
      <c r="BFJ11" s="196"/>
      <c r="BFK11" s="196"/>
      <c r="BFL11" s="196"/>
      <c r="BFM11" s="196"/>
      <c r="BFN11" s="196"/>
      <c r="BFO11" s="196"/>
      <c r="BFP11" s="196"/>
      <c r="BFQ11" s="196"/>
      <c r="BFR11" s="196"/>
      <c r="BFS11" s="196"/>
      <c r="BFT11" s="196"/>
      <c r="BFU11" s="196"/>
      <c r="BFV11" s="196"/>
      <c r="BFW11" s="196"/>
      <c r="BFX11" s="196"/>
      <c r="BFY11" s="196"/>
      <c r="BFZ11" s="196"/>
      <c r="BGA11" s="196"/>
      <c r="BGB11" s="196"/>
      <c r="BGC11" s="196"/>
      <c r="BGD11" s="196"/>
      <c r="BGE11" s="196"/>
      <c r="BGF11" s="196"/>
      <c r="BGG11" s="196"/>
      <c r="BGH11" s="196"/>
      <c r="BGI11" s="196"/>
      <c r="BGJ11" s="196"/>
      <c r="BGK11" s="196"/>
      <c r="BGL11" s="196"/>
      <c r="BGM11" s="196"/>
      <c r="BGN11" s="196"/>
      <c r="BGO11" s="196"/>
      <c r="BGP11" s="196"/>
      <c r="BGQ11" s="196"/>
      <c r="BGR11" s="196"/>
      <c r="BGS11" s="196"/>
      <c r="BGT11" s="196"/>
      <c r="BGU11" s="196"/>
      <c r="BGV11" s="196"/>
      <c r="BGW11" s="196"/>
      <c r="BGX11" s="196"/>
      <c r="BGY11" s="196"/>
      <c r="BGZ11" s="196"/>
      <c r="BHA11" s="196"/>
      <c r="BHB11" s="196"/>
      <c r="BHC11" s="196"/>
      <c r="BHD11" s="196"/>
      <c r="BHE11" s="196"/>
      <c r="BHF11" s="196" t="s">
        <v>77</v>
      </c>
      <c r="BHG11" s="196"/>
      <c r="BHH11" s="196"/>
      <c r="BHI11" s="196"/>
      <c r="BHJ11" s="196"/>
      <c r="BHK11" s="196"/>
      <c r="BHL11" s="196"/>
      <c r="BHM11" s="196"/>
      <c r="BHN11" s="196"/>
      <c r="BHO11" s="196"/>
      <c r="BHP11" s="196"/>
      <c r="BHQ11" s="196"/>
      <c r="BHR11" s="196"/>
      <c r="BHS11" s="196"/>
      <c r="BHT11" s="196"/>
      <c r="BHU11" s="196"/>
      <c r="BHV11" s="196"/>
      <c r="BHW11" s="196"/>
      <c r="BHX11" s="196"/>
      <c r="BHY11" s="196"/>
      <c r="BHZ11" s="196"/>
      <c r="BIA11" s="196"/>
      <c r="BIB11" s="196"/>
      <c r="BIC11" s="196"/>
      <c r="BID11" s="196"/>
      <c r="BIE11" s="196"/>
      <c r="BIF11" s="196"/>
      <c r="BIG11" s="196"/>
      <c r="BIH11" s="196"/>
      <c r="BII11" s="196"/>
      <c r="BIJ11" s="196"/>
      <c r="BIK11" s="196"/>
      <c r="BIL11" s="196"/>
      <c r="BIM11" s="196"/>
      <c r="BIN11" s="196"/>
      <c r="BIO11" s="196"/>
      <c r="BIP11" s="196"/>
      <c r="BIQ11" s="196"/>
      <c r="BIR11" s="196"/>
      <c r="BIS11" s="196"/>
      <c r="BIT11" s="196"/>
      <c r="BIU11" s="196"/>
      <c r="BIV11" s="196"/>
      <c r="BIW11" s="196"/>
      <c r="BIX11" s="196"/>
      <c r="BIY11" s="196"/>
      <c r="BIZ11" s="196"/>
      <c r="BJA11" s="196"/>
      <c r="BJB11" s="196"/>
      <c r="BJC11" s="196"/>
      <c r="BJD11" s="196"/>
      <c r="BJE11" s="196"/>
      <c r="BJF11" s="196"/>
      <c r="BJG11" s="196"/>
      <c r="BJH11" s="196"/>
      <c r="BJI11" s="196"/>
      <c r="BJJ11" s="196"/>
      <c r="BJK11" s="196"/>
      <c r="BJL11" s="196"/>
      <c r="BJM11" s="196"/>
      <c r="BJN11" s="196"/>
      <c r="BJO11" s="196"/>
      <c r="BJP11" s="196"/>
      <c r="BJQ11" s="196"/>
      <c r="BJR11" s="196"/>
      <c r="BJS11" s="196"/>
      <c r="BJT11" s="196"/>
      <c r="BJU11" s="196"/>
      <c r="BJV11" s="196"/>
      <c r="BJW11" s="196"/>
      <c r="BJX11" s="196"/>
      <c r="BJY11" s="196"/>
      <c r="BJZ11" s="196"/>
      <c r="BKA11" s="196"/>
      <c r="BKB11" s="196"/>
      <c r="BKC11" s="196"/>
      <c r="BKD11" s="196"/>
      <c r="BKE11" s="196"/>
      <c r="BKF11" s="196"/>
      <c r="BKG11" s="196"/>
      <c r="BKH11" s="196"/>
      <c r="BKI11" s="196"/>
      <c r="BKJ11" s="196"/>
      <c r="BKK11" s="196"/>
      <c r="BKL11" s="196"/>
      <c r="BKM11" s="196"/>
      <c r="BKN11" s="196"/>
      <c r="BKO11" s="196"/>
      <c r="BKP11" s="196"/>
      <c r="BKQ11" s="196"/>
      <c r="BKR11" s="196"/>
      <c r="BKS11" s="196"/>
      <c r="BKT11" s="196"/>
      <c r="BKU11" s="196"/>
      <c r="BKV11" s="196"/>
      <c r="BKW11" s="196"/>
      <c r="BKX11" s="196"/>
      <c r="BKY11" s="196"/>
      <c r="BKZ11" s="196"/>
      <c r="BLA11" s="196"/>
      <c r="BLB11" s="196"/>
      <c r="BLC11" s="196"/>
      <c r="BLD11" s="196"/>
      <c r="BLE11" s="196"/>
      <c r="BLF11" s="196"/>
      <c r="BLG11" s="196"/>
      <c r="BLH11" s="196"/>
      <c r="BLI11" s="196"/>
      <c r="BLJ11" s="196"/>
      <c r="BLK11" s="196"/>
      <c r="BLL11" s="196"/>
      <c r="BLM11" s="196"/>
      <c r="BLN11" s="196"/>
      <c r="BLO11" s="196"/>
      <c r="BLP11" s="196"/>
      <c r="BLQ11" s="196"/>
      <c r="BLR11" s="196"/>
      <c r="BLS11" s="196"/>
      <c r="BLT11" s="196"/>
      <c r="BLU11" s="196"/>
      <c r="BLV11" s="196"/>
      <c r="BLW11" s="196"/>
      <c r="BLX11" s="196"/>
      <c r="BLY11" s="196"/>
      <c r="BLZ11" s="196"/>
      <c r="BMA11" s="196"/>
      <c r="BMB11" s="196"/>
      <c r="BMC11" s="196"/>
      <c r="BMD11" s="196"/>
      <c r="BME11" s="196"/>
      <c r="BMF11" s="196"/>
      <c r="BMG11" s="196"/>
      <c r="BMH11" s="196"/>
      <c r="BMI11" s="196"/>
      <c r="BMJ11" s="196"/>
      <c r="BMK11" s="196"/>
      <c r="BML11" s="196"/>
      <c r="BMM11" s="196"/>
      <c r="BMN11" s="196"/>
      <c r="BMO11" s="196"/>
      <c r="BMP11" s="196"/>
      <c r="BMQ11" s="196"/>
      <c r="BMR11" s="196"/>
      <c r="BMS11" s="196"/>
      <c r="BMT11" s="196"/>
      <c r="BMU11" s="196"/>
      <c r="BMV11" s="196"/>
      <c r="BMW11" s="196"/>
      <c r="BMX11" s="196"/>
      <c r="BMY11" s="196"/>
      <c r="BMZ11" s="196"/>
      <c r="BNA11" s="196"/>
      <c r="BNB11" s="196"/>
      <c r="BNC11" s="196"/>
      <c r="BND11" s="196"/>
      <c r="BNE11" s="196"/>
      <c r="BNF11" s="196"/>
      <c r="BNG11" s="196"/>
      <c r="BNH11" s="196"/>
      <c r="BNI11" s="196"/>
      <c r="BNJ11" s="196"/>
      <c r="BNK11" s="196"/>
      <c r="BNL11" s="196"/>
      <c r="BNM11" s="196"/>
      <c r="BNN11" s="196"/>
      <c r="BNO11" s="196"/>
      <c r="BNP11" s="196"/>
      <c r="BNQ11" s="196"/>
      <c r="BNR11" s="196"/>
      <c r="BNS11" s="196"/>
      <c r="BNT11" s="196"/>
      <c r="BNU11" s="196"/>
      <c r="BNV11" s="196"/>
      <c r="BNW11" s="196"/>
      <c r="BNX11" s="196"/>
      <c r="BNY11" s="196"/>
      <c r="BNZ11" s="196"/>
      <c r="BOA11" s="196"/>
      <c r="BOB11" s="196"/>
      <c r="BOC11" s="196"/>
      <c r="BOD11" s="90"/>
    </row>
    <row r="12" spans="1:1746" ht="15.75" customHeight="1" thickBot="1" x14ac:dyDescent="0.3">
      <c r="B12" s="97"/>
      <c r="C12" s="224"/>
      <c r="D12" s="224"/>
      <c r="E12" s="224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/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/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/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/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/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/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/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/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/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/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/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/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/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/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/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/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/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/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/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/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/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/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197"/>
      <c r="BHG12" s="197"/>
      <c r="BHH12" s="197"/>
      <c r="BHI12" s="197"/>
      <c r="BHJ12" s="197"/>
      <c r="BHK12" s="197"/>
      <c r="BHL12" s="197"/>
      <c r="BHM12" s="197"/>
      <c r="BHN12" s="197"/>
      <c r="BHO12" s="197"/>
      <c r="BHP12" s="197"/>
      <c r="BHQ12" s="197"/>
      <c r="BHR12" s="197"/>
      <c r="BHS12" s="197"/>
      <c r="BHT12" s="197"/>
      <c r="BHU12" s="197"/>
      <c r="BHV12" s="197"/>
      <c r="BHW12" s="197"/>
      <c r="BHX12" s="197"/>
      <c r="BHY12" s="197"/>
      <c r="BHZ12" s="197"/>
      <c r="BIA12" s="197"/>
      <c r="BIB12" s="197"/>
      <c r="BIC12" s="197"/>
      <c r="BID12" s="197"/>
      <c r="BIE12" s="197"/>
      <c r="BIF12" s="197"/>
      <c r="BIG12" s="197"/>
      <c r="BIH12" s="197"/>
      <c r="BII12" s="197"/>
      <c r="BIJ12" s="197"/>
      <c r="BIK12" s="197"/>
      <c r="BIL12" s="197"/>
      <c r="BIM12" s="197"/>
      <c r="BIN12" s="197"/>
      <c r="BIO12" s="197"/>
      <c r="BIP12" s="197"/>
      <c r="BIQ12" s="197"/>
      <c r="BIR12" s="197"/>
      <c r="BIS12" s="197"/>
      <c r="BIT12" s="197"/>
      <c r="BIU12" s="197"/>
      <c r="BIV12" s="197"/>
      <c r="BIW12" s="197"/>
      <c r="BIX12" s="197"/>
      <c r="BIY12" s="197"/>
      <c r="BIZ12" s="197"/>
      <c r="BJA12" s="197"/>
      <c r="BJB12" s="197"/>
      <c r="BJC12" s="197"/>
      <c r="BJD12" s="197"/>
      <c r="BJE12" s="197"/>
      <c r="BJF12" s="197"/>
      <c r="BJG12" s="197"/>
      <c r="BJH12" s="197"/>
      <c r="BJI12" s="197"/>
      <c r="BJJ12" s="197"/>
      <c r="BJK12" s="197"/>
      <c r="BJL12" s="197"/>
      <c r="BJM12" s="197"/>
      <c r="BJN12" s="197"/>
      <c r="BJO12" s="197"/>
      <c r="BJP12" s="197"/>
      <c r="BJQ12" s="197"/>
      <c r="BJR12" s="197"/>
      <c r="BJS12" s="197"/>
      <c r="BJT12" s="197"/>
      <c r="BJU12" s="197"/>
      <c r="BJV12" s="197"/>
      <c r="BJW12" s="197"/>
      <c r="BJX12" s="197"/>
      <c r="BJY12" s="197"/>
      <c r="BJZ12" s="197"/>
      <c r="BKA12" s="197"/>
      <c r="BKB12" s="197"/>
      <c r="BKC12" s="197"/>
      <c r="BKD12" s="197"/>
      <c r="BKE12" s="197"/>
      <c r="BKF12" s="197"/>
      <c r="BKG12" s="197"/>
      <c r="BKH12" s="197"/>
      <c r="BKI12" s="197"/>
      <c r="BKJ12" s="197"/>
      <c r="BKK12" s="197"/>
      <c r="BKL12" s="197"/>
      <c r="BKM12" s="197"/>
      <c r="BKN12" s="197"/>
      <c r="BKO12" s="197"/>
      <c r="BKP12" s="197"/>
      <c r="BKQ12" s="197"/>
      <c r="BKR12" s="197"/>
      <c r="BKS12" s="197"/>
      <c r="BKT12" s="197"/>
      <c r="BKU12" s="197"/>
      <c r="BKV12" s="197"/>
      <c r="BKW12" s="197"/>
      <c r="BKX12" s="197"/>
      <c r="BKY12" s="197"/>
      <c r="BKZ12" s="197"/>
      <c r="BLA12" s="197"/>
      <c r="BLB12" s="197"/>
      <c r="BLC12" s="197"/>
      <c r="BLD12" s="197"/>
      <c r="BLE12" s="197"/>
      <c r="BLF12" s="197"/>
      <c r="BLG12" s="197"/>
      <c r="BLH12" s="197"/>
      <c r="BLI12" s="197"/>
      <c r="BLJ12" s="197"/>
      <c r="BLK12" s="197"/>
      <c r="BLL12" s="197"/>
      <c r="BLM12" s="197"/>
      <c r="BLN12" s="197"/>
      <c r="BLO12" s="197"/>
      <c r="BLP12" s="197"/>
      <c r="BLQ12" s="197"/>
      <c r="BLR12" s="197"/>
      <c r="BLS12" s="197"/>
      <c r="BLT12" s="197"/>
      <c r="BLU12" s="197"/>
      <c r="BLV12" s="197"/>
      <c r="BLW12" s="197"/>
      <c r="BLX12" s="197"/>
      <c r="BLY12" s="197"/>
      <c r="BLZ12" s="197"/>
      <c r="BMA12" s="197"/>
      <c r="BMB12" s="197"/>
      <c r="BMC12" s="197"/>
      <c r="BMD12" s="197"/>
      <c r="BME12" s="197"/>
      <c r="BMF12" s="197"/>
      <c r="BMG12" s="197"/>
      <c r="BMH12" s="197"/>
      <c r="BMI12" s="197"/>
      <c r="BMJ12" s="197"/>
      <c r="BMK12" s="197"/>
      <c r="BML12" s="197"/>
      <c r="BMM12" s="197"/>
      <c r="BMN12" s="197"/>
      <c r="BMO12" s="197"/>
      <c r="BMP12" s="197"/>
      <c r="BMQ12" s="197"/>
      <c r="BMR12" s="197"/>
      <c r="BMS12" s="197"/>
      <c r="BMT12" s="197"/>
      <c r="BMU12" s="197"/>
      <c r="BMV12" s="197"/>
      <c r="BMW12" s="197"/>
      <c r="BMX12" s="197"/>
      <c r="BMY12" s="197"/>
      <c r="BMZ12" s="197"/>
      <c r="BNA12" s="197"/>
      <c r="BNB12" s="197"/>
      <c r="BNC12" s="197"/>
      <c r="BND12" s="197"/>
      <c r="BNE12" s="197"/>
      <c r="BNF12" s="197"/>
      <c r="BNG12" s="197"/>
      <c r="BNH12" s="197"/>
      <c r="BNI12" s="197"/>
      <c r="BNJ12" s="197"/>
      <c r="BNK12" s="197"/>
      <c r="BNL12" s="197"/>
      <c r="BNM12" s="197"/>
      <c r="BNN12" s="197"/>
      <c r="BNO12" s="197"/>
      <c r="BNP12" s="197"/>
      <c r="BNQ12" s="197"/>
      <c r="BNR12" s="197"/>
      <c r="BNS12" s="197"/>
      <c r="BNT12" s="197"/>
      <c r="BNU12" s="197"/>
      <c r="BNV12" s="197"/>
      <c r="BNW12" s="197"/>
      <c r="BNX12" s="197"/>
      <c r="BNY12" s="197"/>
      <c r="BNZ12" s="197"/>
      <c r="BOA12" s="197"/>
      <c r="BOB12" s="197"/>
      <c r="BOC12" s="197"/>
      <c r="BOD12" s="90"/>
    </row>
    <row r="13" spans="1:1746" ht="42.75" customHeight="1" thickBot="1" x14ac:dyDescent="0.3">
      <c r="B13" s="96"/>
      <c r="C13" s="214" t="s">
        <v>7</v>
      </c>
      <c r="D13" s="144"/>
      <c r="E13" s="216" t="s">
        <v>38</v>
      </c>
      <c r="F13" s="198" t="s">
        <v>8</v>
      </c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200"/>
      <c r="BN13" s="198" t="s">
        <v>27</v>
      </c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199"/>
      <c r="DI13" s="199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200"/>
      <c r="DV13" s="198" t="s">
        <v>18</v>
      </c>
      <c r="DW13" s="199"/>
      <c r="DX13" s="199"/>
      <c r="DY13" s="199"/>
      <c r="DZ13" s="199"/>
      <c r="EA13" s="199"/>
      <c r="EB13" s="199"/>
      <c r="EC13" s="199"/>
      <c r="ED13" s="199"/>
      <c r="EE13" s="199"/>
      <c r="EF13" s="199"/>
      <c r="EG13" s="199"/>
      <c r="EH13" s="199"/>
      <c r="EI13" s="199"/>
      <c r="EJ13" s="199"/>
      <c r="EK13" s="199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199"/>
      <c r="FD13" s="199"/>
      <c r="FE13" s="199"/>
      <c r="FF13" s="199"/>
      <c r="FG13" s="199"/>
      <c r="FH13" s="199"/>
      <c r="FI13" s="199"/>
      <c r="FJ13" s="199"/>
      <c r="FK13" s="199"/>
      <c r="FL13" s="199"/>
      <c r="FM13" s="199"/>
      <c r="FN13" s="199"/>
      <c r="FO13" s="199"/>
      <c r="FP13" s="199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199"/>
      <c r="GC13" s="200"/>
      <c r="GD13" s="198" t="s">
        <v>112</v>
      </c>
      <c r="GE13" s="199"/>
      <c r="GF13" s="199"/>
      <c r="GG13" s="199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199"/>
      <c r="GU13" s="199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199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  <c r="HW13" s="199"/>
      <c r="HX13" s="199"/>
      <c r="HY13" s="199"/>
      <c r="HZ13" s="199"/>
      <c r="IA13" s="199"/>
      <c r="IB13" s="199"/>
      <c r="IC13" s="199"/>
      <c r="ID13" s="199"/>
      <c r="IE13" s="199"/>
      <c r="IF13" s="199"/>
      <c r="IG13" s="199"/>
      <c r="IH13" s="199"/>
      <c r="II13" s="199"/>
      <c r="IJ13" s="199"/>
      <c r="IK13" s="200"/>
      <c r="IL13" s="198" t="s">
        <v>110</v>
      </c>
      <c r="IM13" s="199"/>
      <c r="IN13" s="199"/>
      <c r="IO13" s="199"/>
      <c r="IP13" s="199"/>
      <c r="IQ13" s="199"/>
      <c r="IR13" s="199"/>
      <c r="IS13" s="199"/>
      <c r="IT13" s="199"/>
      <c r="IU13" s="199"/>
      <c r="IV13" s="199"/>
      <c r="IW13" s="199"/>
      <c r="IX13" s="199"/>
      <c r="IY13" s="199"/>
      <c r="IZ13" s="199"/>
      <c r="JA13" s="199"/>
      <c r="JB13" s="199"/>
      <c r="JC13" s="199"/>
      <c r="JD13" s="199"/>
      <c r="JE13" s="199"/>
      <c r="JF13" s="199"/>
      <c r="JG13" s="199"/>
      <c r="JH13" s="199"/>
      <c r="JI13" s="199"/>
      <c r="JJ13" s="199"/>
      <c r="JK13" s="199"/>
      <c r="JL13" s="199"/>
      <c r="JM13" s="199"/>
      <c r="JN13" s="199"/>
      <c r="JO13" s="199"/>
      <c r="JP13" s="199"/>
      <c r="JQ13" s="199"/>
      <c r="JR13" s="199"/>
      <c r="JS13" s="199"/>
      <c r="JT13" s="199"/>
      <c r="JU13" s="199"/>
      <c r="JV13" s="199"/>
      <c r="JW13" s="199"/>
      <c r="JX13" s="199"/>
      <c r="JY13" s="199"/>
      <c r="JZ13" s="199"/>
      <c r="KA13" s="199"/>
      <c r="KB13" s="199"/>
      <c r="KC13" s="199"/>
      <c r="KD13" s="199"/>
      <c r="KE13" s="199"/>
      <c r="KF13" s="199"/>
      <c r="KG13" s="199"/>
      <c r="KH13" s="199"/>
      <c r="KI13" s="199"/>
      <c r="KJ13" s="199"/>
      <c r="KK13" s="199"/>
      <c r="KL13" s="199"/>
      <c r="KM13" s="199"/>
      <c r="KN13" s="199"/>
      <c r="KO13" s="199"/>
      <c r="KP13" s="199"/>
      <c r="KQ13" s="199"/>
      <c r="KR13" s="199"/>
      <c r="KS13" s="200"/>
      <c r="KT13" s="198" t="s">
        <v>109</v>
      </c>
      <c r="KU13" s="199"/>
      <c r="KV13" s="199"/>
      <c r="KW13" s="199"/>
      <c r="KX13" s="199"/>
      <c r="KY13" s="199"/>
      <c r="KZ13" s="199"/>
      <c r="LA13" s="199"/>
      <c r="LB13" s="199"/>
      <c r="LC13" s="199"/>
      <c r="LD13" s="199"/>
      <c r="LE13" s="199"/>
      <c r="LF13" s="199"/>
      <c r="LG13" s="199"/>
      <c r="LH13" s="199"/>
      <c r="LI13" s="199"/>
      <c r="LJ13" s="199"/>
      <c r="LK13" s="199"/>
      <c r="LL13" s="199"/>
      <c r="LM13" s="199"/>
      <c r="LN13" s="199"/>
      <c r="LO13" s="199"/>
      <c r="LP13" s="199"/>
      <c r="LQ13" s="199"/>
      <c r="LR13" s="199"/>
      <c r="LS13" s="199"/>
      <c r="LT13" s="199"/>
      <c r="LU13" s="199"/>
      <c r="LV13" s="199"/>
      <c r="LW13" s="199"/>
      <c r="LX13" s="199"/>
      <c r="LY13" s="199"/>
      <c r="LZ13" s="199"/>
      <c r="MA13" s="199"/>
      <c r="MB13" s="199"/>
      <c r="MC13" s="199"/>
      <c r="MD13" s="199"/>
      <c r="ME13" s="199"/>
      <c r="MF13" s="199"/>
      <c r="MG13" s="199"/>
      <c r="MH13" s="199"/>
      <c r="MI13" s="199"/>
      <c r="MJ13" s="199"/>
      <c r="MK13" s="199"/>
      <c r="ML13" s="199"/>
      <c r="MM13" s="199"/>
      <c r="MN13" s="199"/>
      <c r="MO13" s="199"/>
      <c r="MP13" s="199"/>
      <c r="MQ13" s="199"/>
      <c r="MR13" s="199"/>
      <c r="MS13" s="199"/>
      <c r="MT13" s="199"/>
      <c r="MU13" s="199"/>
      <c r="MV13" s="199"/>
      <c r="MW13" s="199"/>
      <c r="MX13" s="199"/>
      <c r="MY13" s="199"/>
      <c r="MZ13" s="199"/>
      <c r="NA13" s="200"/>
      <c r="NB13" s="198" t="s">
        <v>107</v>
      </c>
      <c r="NC13" s="199"/>
      <c r="ND13" s="199"/>
      <c r="NE13" s="199"/>
      <c r="NF13" s="199"/>
      <c r="NG13" s="199"/>
      <c r="NH13" s="199"/>
      <c r="NI13" s="199"/>
      <c r="NJ13" s="199"/>
      <c r="NK13" s="199"/>
      <c r="NL13" s="199"/>
      <c r="NM13" s="199"/>
      <c r="NN13" s="199"/>
      <c r="NO13" s="199"/>
      <c r="NP13" s="199"/>
      <c r="NQ13" s="199"/>
      <c r="NR13" s="199"/>
      <c r="NS13" s="199"/>
      <c r="NT13" s="199"/>
      <c r="NU13" s="199"/>
      <c r="NV13" s="199"/>
      <c r="NW13" s="199"/>
      <c r="NX13" s="199"/>
      <c r="NY13" s="199"/>
      <c r="NZ13" s="199"/>
      <c r="OA13" s="199"/>
      <c r="OB13" s="199"/>
      <c r="OC13" s="199"/>
      <c r="OD13" s="199"/>
      <c r="OE13" s="199"/>
      <c r="OF13" s="199"/>
      <c r="OG13" s="199"/>
      <c r="OH13" s="199"/>
      <c r="OI13" s="199"/>
      <c r="OJ13" s="199"/>
      <c r="OK13" s="199"/>
      <c r="OL13" s="199"/>
      <c r="OM13" s="199"/>
      <c r="ON13" s="199"/>
      <c r="OO13" s="199"/>
      <c r="OP13" s="199"/>
      <c r="OQ13" s="199"/>
      <c r="OR13" s="199"/>
      <c r="OS13" s="199"/>
      <c r="OT13" s="199"/>
      <c r="OU13" s="199"/>
      <c r="OV13" s="199"/>
      <c r="OW13" s="199"/>
      <c r="OX13" s="199"/>
      <c r="OY13" s="199"/>
      <c r="OZ13" s="199"/>
      <c r="PA13" s="199"/>
      <c r="PB13" s="199"/>
      <c r="PC13" s="199"/>
      <c r="PD13" s="199"/>
      <c r="PE13" s="199"/>
      <c r="PF13" s="199"/>
      <c r="PG13" s="199"/>
      <c r="PH13" s="199"/>
      <c r="PI13" s="200"/>
      <c r="PJ13" s="198" t="s">
        <v>106</v>
      </c>
      <c r="PK13" s="199"/>
      <c r="PL13" s="199"/>
      <c r="PM13" s="199"/>
      <c r="PN13" s="199"/>
      <c r="PO13" s="199"/>
      <c r="PP13" s="199"/>
      <c r="PQ13" s="199"/>
      <c r="PR13" s="199"/>
      <c r="PS13" s="199"/>
      <c r="PT13" s="199"/>
      <c r="PU13" s="199"/>
      <c r="PV13" s="199"/>
      <c r="PW13" s="199"/>
      <c r="PX13" s="199"/>
      <c r="PY13" s="199"/>
      <c r="PZ13" s="199"/>
      <c r="QA13" s="199"/>
      <c r="QB13" s="199"/>
      <c r="QC13" s="199"/>
      <c r="QD13" s="199"/>
      <c r="QE13" s="199"/>
      <c r="QF13" s="199"/>
      <c r="QG13" s="199"/>
      <c r="QH13" s="199"/>
      <c r="QI13" s="199"/>
      <c r="QJ13" s="199"/>
      <c r="QK13" s="199"/>
      <c r="QL13" s="199"/>
      <c r="QM13" s="199"/>
      <c r="QN13" s="199"/>
      <c r="QO13" s="199"/>
      <c r="QP13" s="199"/>
      <c r="QQ13" s="199"/>
      <c r="QR13" s="199"/>
      <c r="QS13" s="199"/>
      <c r="QT13" s="199"/>
      <c r="QU13" s="199"/>
      <c r="QV13" s="199"/>
      <c r="QW13" s="199"/>
      <c r="QX13" s="199"/>
      <c r="QY13" s="199"/>
      <c r="QZ13" s="199"/>
      <c r="RA13" s="199"/>
      <c r="RB13" s="199"/>
      <c r="RC13" s="199"/>
      <c r="RD13" s="199"/>
      <c r="RE13" s="199"/>
      <c r="RF13" s="199"/>
      <c r="RG13" s="199"/>
      <c r="RH13" s="199"/>
      <c r="RI13" s="199"/>
      <c r="RJ13" s="199"/>
      <c r="RK13" s="199"/>
      <c r="RL13" s="199"/>
      <c r="RM13" s="199"/>
      <c r="RN13" s="199"/>
      <c r="RO13" s="199"/>
      <c r="RP13" s="199"/>
      <c r="RQ13" s="200"/>
      <c r="RR13" s="198" t="s">
        <v>104</v>
      </c>
      <c r="RS13" s="199"/>
      <c r="RT13" s="199"/>
      <c r="RU13" s="199"/>
      <c r="RV13" s="199"/>
      <c r="RW13" s="199"/>
      <c r="RX13" s="199"/>
      <c r="RY13" s="199"/>
      <c r="RZ13" s="199"/>
      <c r="SA13" s="199"/>
      <c r="SB13" s="199"/>
      <c r="SC13" s="199"/>
      <c r="SD13" s="199"/>
      <c r="SE13" s="199"/>
      <c r="SF13" s="199"/>
      <c r="SG13" s="199"/>
      <c r="SH13" s="199"/>
      <c r="SI13" s="199"/>
      <c r="SJ13" s="199"/>
      <c r="SK13" s="199"/>
      <c r="SL13" s="199"/>
      <c r="SM13" s="199"/>
      <c r="SN13" s="199"/>
      <c r="SO13" s="199"/>
      <c r="SP13" s="199"/>
      <c r="SQ13" s="199"/>
      <c r="SR13" s="199"/>
      <c r="SS13" s="199"/>
      <c r="ST13" s="199"/>
      <c r="SU13" s="199"/>
      <c r="SV13" s="199"/>
      <c r="SW13" s="199"/>
      <c r="SX13" s="199"/>
      <c r="SY13" s="199"/>
      <c r="SZ13" s="199"/>
      <c r="TA13" s="199"/>
      <c r="TB13" s="199"/>
      <c r="TC13" s="199"/>
      <c r="TD13" s="199"/>
      <c r="TE13" s="199"/>
      <c r="TF13" s="199"/>
      <c r="TG13" s="199"/>
      <c r="TH13" s="199"/>
      <c r="TI13" s="199"/>
      <c r="TJ13" s="199"/>
      <c r="TK13" s="199"/>
      <c r="TL13" s="199"/>
      <c r="TM13" s="199"/>
      <c r="TN13" s="199"/>
      <c r="TO13" s="199"/>
      <c r="TP13" s="199"/>
      <c r="TQ13" s="199"/>
      <c r="TR13" s="199"/>
      <c r="TS13" s="199"/>
      <c r="TT13" s="199"/>
      <c r="TU13" s="199"/>
      <c r="TV13" s="199"/>
      <c r="TW13" s="199"/>
      <c r="TX13" s="199"/>
      <c r="TY13" s="200"/>
      <c r="TZ13" s="198" t="s">
        <v>103</v>
      </c>
      <c r="UA13" s="199"/>
      <c r="UB13" s="199"/>
      <c r="UC13" s="199"/>
      <c r="UD13" s="199"/>
      <c r="UE13" s="199"/>
      <c r="UF13" s="199"/>
      <c r="UG13" s="199"/>
      <c r="UH13" s="199"/>
      <c r="UI13" s="199"/>
      <c r="UJ13" s="199"/>
      <c r="UK13" s="199"/>
      <c r="UL13" s="199"/>
      <c r="UM13" s="199"/>
      <c r="UN13" s="199"/>
      <c r="UO13" s="199"/>
      <c r="UP13" s="199"/>
      <c r="UQ13" s="199"/>
      <c r="UR13" s="199"/>
      <c r="US13" s="199"/>
      <c r="UT13" s="199"/>
      <c r="UU13" s="199"/>
      <c r="UV13" s="199"/>
      <c r="UW13" s="199"/>
      <c r="UX13" s="199"/>
      <c r="UY13" s="199"/>
      <c r="UZ13" s="199"/>
      <c r="VA13" s="199"/>
      <c r="VB13" s="199"/>
      <c r="VC13" s="199"/>
      <c r="VD13" s="199"/>
      <c r="VE13" s="199"/>
      <c r="VF13" s="199"/>
      <c r="VG13" s="199"/>
      <c r="VH13" s="199"/>
      <c r="VI13" s="199"/>
      <c r="VJ13" s="199"/>
      <c r="VK13" s="199"/>
      <c r="VL13" s="199"/>
      <c r="VM13" s="199"/>
      <c r="VN13" s="199"/>
      <c r="VO13" s="199"/>
      <c r="VP13" s="199"/>
      <c r="VQ13" s="199"/>
      <c r="VR13" s="199"/>
      <c r="VS13" s="199"/>
      <c r="VT13" s="199"/>
      <c r="VU13" s="199"/>
      <c r="VV13" s="199"/>
      <c r="VW13" s="199"/>
      <c r="VX13" s="199"/>
      <c r="VY13" s="199"/>
      <c r="VZ13" s="199"/>
      <c r="WA13" s="199"/>
      <c r="WB13" s="199"/>
      <c r="WC13" s="199"/>
      <c r="WD13" s="199"/>
      <c r="WE13" s="199"/>
      <c r="WF13" s="199"/>
      <c r="WG13" s="200"/>
      <c r="WH13" s="198" t="s">
        <v>101</v>
      </c>
      <c r="WI13" s="199"/>
      <c r="WJ13" s="199"/>
      <c r="WK13" s="199"/>
      <c r="WL13" s="199"/>
      <c r="WM13" s="199"/>
      <c r="WN13" s="199"/>
      <c r="WO13" s="199"/>
      <c r="WP13" s="199"/>
      <c r="WQ13" s="199"/>
      <c r="WR13" s="199"/>
      <c r="WS13" s="199"/>
      <c r="WT13" s="199"/>
      <c r="WU13" s="199"/>
      <c r="WV13" s="199"/>
      <c r="WW13" s="199"/>
      <c r="WX13" s="199"/>
      <c r="WY13" s="199"/>
      <c r="WZ13" s="199"/>
      <c r="XA13" s="199"/>
      <c r="XB13" s="199"/>
      <c r="XC13" s="199"/>
      <c r="XD13" s="199"/>
      <c r="XE13" s="199"/>
      <c r="XF13" s="199"/>
      <c r="XG13" s="199"/>
      <c r="XH13" s="199"/>
      <c r="XI13" s="199"/>
      <c r="XJ13" s="199"/>
      <c r="XK13" s="199"/>
      <c r="XL13" s="199"/>
      <c r="XM13" s="199"/>
      <c r="XN13" s="199"/>
      <c r="XO13" s="199"/>
      <c r="XP13" s="199"/>
      <c r="XQ13" s="199"/>
      <c r="XR13" s="199"/>
      <c r="XS13" s="199"/>
      <c r="XT13" s="199"/>
      <c r="XU13" s="199"/>
      <c r="XV13" s="199"/>
      <c r="XW13" s="199"/>
      <c r="XX13" s="199"/>
      <c r="XY13" s="199"/>
      <c r="XZ13" s="199"/>
      <c r="YA13" s="199"/>
      <c r="YB13" s="199"/>
      <c r="YC13" s="199"/>
      <c r="YD13" s="199"/>
      <c r="YE13" s="199"/>
      <c r="YF13" s="199"/>
      <c r="YG13" s="199"/>
      <c r="YH13" s="199"/>
      <c r="YI13" s="199"/>
      <c r="YJ13" s="199"/>
      <c r="YK13" s="199"/>
      <c r="YL13" s="199"/>
      <c r="YM13" s="199"/>
      <c r="YN13" s="199"/>
      <c r="YO13" s="200"/>
      <c r="YP13" s="198" t="s">
        <v>100</v>
      </c>
      <c r="YQ13" s="199"/>
      <c r="YR13" s="199"/>
      <c r="YS13" s="199"/>
      <c r="YT13" s="199"/>
      <c r="YU13" s="199"/>
      <c r="YV13" s="199"/>
      <c r="YW13" s="199"/>
      <c r="YX13" s="199"/>
      <c r="YY13" s="199"/>
      <c r="YZ13" s="199"/>
      <c r="ZA13" s="199"/>
      <c r="ZB13" s="199"/>
      <c r="ZC13" s="199"/>
      <c r="ZD13" s="199"/>
      <c r="ZE13" s="199"/>
      <c r="ZF13" s="199"/>
      <c r="ZG13" s="199"/>
      <c r="ZH13" s="199"/>
      <c r="ZI13" s="199"/>
      <c r="ZJ13" s="199"/>
      <c r="ZK13" s="199"/>
      <c r="ZL13" s="199"/>
      <c r="ZM13" s="199"/>
      <c r="ZN13" s="199"/>
      <c r="ZO13" s="199"/>
      <c r="ZP13" s="199"/>
      <c r="ZQ13" s="199"/>
      <c r="ZR13" s="199"/>
      <c r="ZS13" s="199"/>
      <c r="ZT13" s="199"/>
      <c r="ZU13" s="199"/>
      <c r="ZV13" s="199"/>
      <c r="ZW13" s="199"/>
      <c r="ZX13" s="199"/>
      <c r="ZY13" s="199"/>
      <c r="ZZ13" s="199"/>
      <c r="AAA13" s="199"/>
      <c r="AAB13" s="199"/>
      <c r="AAC13" s="199"/>
      <c r="AAD13" s="199"/>
      <c r="AAE13" s="199"/>
      <c r="AAF13" s="199"/>
      <c r="AAG13" s="199"/>
      <c r="AAH13" s="199"/>
      <c r="AAI13" s="199"/>
      <c r="AAJ13" s="199"/>
      <c r="AAK13" s="199"/>
      <c r="AAL13" s="199"/>
      <c r="AAM13" s="199"/>
      <c r="AAN13" s="199"/>
      <c r="AAO13" s="199"/>
      <c r="AAP13" s="199"/>
      <c r="AAQ13" s="199"/>
      <c r="AAR13" s="199"/>
      <c r="AAS13" s="199"/>
      <c r="AAT13" s="199"/>
      <c r="AAU13" s="199"/>
      <c r="AAV13" s="199"/>
      <c r="AAW13" s="200"/>
      <c r="AAX13" s="198" t="s">
        <v>98</v>
      </c>
      <c r="AAY13" s="199"/>
      <c r="AAZ13" s="199"/>
      <c r="ABA13" s="199"/>
      <c r="ABB13" s="199"/>
      <c r="ABC13" s="199"/>
      <c r="ABD13" s="199"/>
      <c r="ABE13" s="199"/>
      <c r="ABF13" s="199"/>
      <c r="ABG13" s="199"/>
      <c r="ABH13" s="199"/>
      <c r="ABI13" s="199"/>
      <c r="ABJ13" s="199"/>
      <c r="ABK13" s="199"/>
      <c r="ABL13" s="199"/>
      <c r="ABM13" s="199"/>
      <c r="ABN13" s="199"/>
      <c r="ABO13" s="199"/>
      <c r="ABP13" s="199"/>
      <c r="ABQ13" s="199"/>
      <c r="ABR13" s="199"/>
      <c r="ABS13" s="199"/>
      <c r="ABT13" s="199"/>
      <c r="ABU13" s="199"/>
      <c r="ABV13" s="199"/>
      <c r="ABW13" s="199"/>
      <c r="ABX13" s="199"/>
      <c r="ABY13" s="199"/>
      <c r="ABZ13" s="199"/>
      <c r="ACA13" s="199"/>
      <c r="ACB13" s="199"/>
      <c r="ACC13" s="199"/>
      <c r="ACD13" s="199"/>
      <c r="ACE13" s="199"/>
      <c r="ACF13" s="199"/>
      <c r="ACG13" s="199"/>
      <c r="ACH13" s="199"/>
      <c r="ACI13" s="199"/>
      <c r="ACJ13" s="199"/>
      <c r="ACK13" s="199"/>
      <c r="ACL13" s="199"/>
      <c r="ACM13" s="199"/>
      <c r="ACN13" s="199"/>
      <c r="ACO13" s="199"/>
      <c r="ACP13" s="199"/>
      <c r="ACQ13" s="199"/>
      <c r="ACR13" s="199"/>
      <c r="ACS13" s="199"/>
      <c r="ACT13" s="199"/>
      <c r="ACU13" s="199"/>
      <c r="ACV13" s="199"/>
      <c r="ACW13" s="199"/>
      <c r="ACX13" s="199"/>
      <c r="ACY13" s="199"/>
      <c r="ACZ13" s="199"/>
      <c r="ADA13" s="199"/>
      <c r="ADB13" s="199"/>
      <c r="ADC13" s="199"/>
      <c r="ADD13" s="199"/>
      <c r="ADE13" s="200"/>
      <c r="ADF13" s="198" t="s">
        <v>97</v>
      </c>
      <c r="ADG13" s="199"/>
      <c r="ADH13" s="199"/>
      <c r="ADI13" s="199"/>
      <c r="ADJ13" s="199"/>
      <c r="ADK13" s="199"/>
      <c r="ADL13" s="199"/>
      <c r="ADM13" s="199"/>
      <c r="ADN13" s="199"/>
      <c r="ADO13" s="199"/>
      <c r="ADP13" s="199"/>
      <c r="ADQ13" s="199"/>
      <c r="ADR13" s="199"/>
      <c r="ADS13" s="199"/>
      <c r="ADT13" s="199"/>
      <c r="ADU13" s="199"/>
      <c r="ADV13" s="199"/>
      <c r="ADW13" s="199"/>
      <c r="ADX13" s="199"/>
      <c r="ADY13" s="199"/>
      <c r="ADZ13" s="199"/>
      <c r="AEA13" s="199"/>
      <c r="AEB13" s="199"/>
      <c r="AEC13" s="199"/>
      <c r="AED13" s="199"/>
      <c r="AEE13" s="199"/>
      <c r="AEF13" s="199"/>
      <c r="AEG13" s="199"/>
      <c r="AEH13" s="199"/>
      <c r="AEI13" s="199"/>
      <c r="AEJ13" s="199"/>
      <c r="AEK13" s="199"/>
      <c r="AEL13" s="199"/>
      <c r="AEM13" s="199"/>
      <c r="AEN13" s="199"/>
      <c r="AEO13" s="199"/>
      <c r="AEP13" s="199"/>
      <c r="AEQ13" s="199"/>
      <c r="AER13" s="199"/>
      <c r="AES13" s="199"/>
      <c r="AET13" s="199"/>
      <c r="AEU13" s="199"/>
      <c r="AEV13" s="199"/>
      <c r="AEW13" s="199"/>
      <c r="AEX13" s="199"/>
      <c r="AEY13" s="199"/>
      <c r="AEZ13" s="199"/>
      <c r="AFA13" s="199"/>
      <c r="AFB13" s="199"/>
      <c r="AFC13" s="199"/>
      <c r="AFD13" s="199"/>
      <c r="AFE13" s="199"/>
      <c r="AFF13" s="199"/>
      <c r="AFG13" s="199"/>
      <c r="AFH13" s="199"/>
      <c r="AFI13" s="199"/>
      <c r="AFJ13" s="199"/>
      <c r="AFK13" s="199"/>
      <c r="AFL13" s="199"/>
      <c r="AFM13" s="200"/>
      <c r="AFN13" s="198" t="s">
        <v>95</v>
      </c>
      <c r="AFO13" s="199"/>
      <c r="AFP13" s="199"/>
      <c r="AFQ13" s="199"/>
      <c r="AFR13" s="199"/>
      <c r="AFS13" s="199"/>
      <c r="AFT13" s="199"/>
      <c r="AFU13" s="199"/>
      <c r="AFV13" s="199"/>
      <c r="AFW13" s="199"/>
      <c r="AFX13" s="199"/>
      <c r="AFY13" s="199"/>
      <c r="AFZ13" s="199"/>
      <c r="AGA13" s="199"/>
      <c r="AGB13" s="199"/>
      <c r="AGC13" s="199"/>
      <c r="AGD13" s="199"/>
      <c r="AGE13" s="199"/>
      <c r="AGF13" s="199"/>
      <c r="AGG13" s="199"/>
      <c r="AGH13" s="199"/>
      <c r="AGI13" s="199"/>
      <c r="AGJ13" s="199"/>
      <c r="AGK13" s="199"/>
      <c r="AGL13" s="199"/>
      <c r="AGM13" s="199"/>
      <c r="AGN13" s="199"/>
      <c r="AGO13" s="199"/>
      <c r="AGP13" s="199"/>
      <c r="AGQ13" s="199"/>
      <c r="AGR13" s="199"/>
      <c r="AGS13" s="199"/>
      <c r="AGT13" s="199"/>
      <c r="AGU13" s="199"/>
      <c r="AGV13" s="199"/>
      <c r="AGW13" s="199"/>
      <c r="AGX13" s="199"/>
      <c r="AGY13" s="199"/>
      <c r="AGZ13" s="199"/>
      <c r="AHA13" s="199"/>
      <c r="AHB13" s="199"/>
      <c r="AHC13" s="199"/>
      <c r="AHD13" s="199"/>
      <c r="AHE13" s="199"/>
      <c r="AHF13" s="199"/>
      <c r="AHG13" s="199"/>
      <c r="AHH13" s="199"/>
      <c r="AHI13" s="199"/>
      <c r="AHJ13" s="199"/>
      <c r="AHK13" s="199"/>
      <c r="AHL13" s="199"/>
      <c r="AHM13" s="199"/>
      <c r="AHN13" s="199"/>
      <c r="AHO13" s="199"/>
      <c r="AHP13" s="199"/>
      <c r="AHQ13" s="199"/>
      <c r="AHR13" s="199"/>
      <c r="AHS13" s="199"/>
      <c r="AHT13" s="199"/>
      <c r="AHU13" s="200"/>
      <c r="AHV13" s="198" t="s">
        <v>93</v>
      </c>
      <c r="AHW13" s="199"/>
      <c r="AHX13" s="199"/>
      <c r="AHY13" s="199"/>
      <c r="AHZ13" s="199"/>
      <c r="AIA13" s="199"/>
      <c r="AIB13" s="199"/>
      <c r="AIC13" s="199"/>
      <c r="AID13" s="199"/>
      <c r="AIE13" s="199"/>
      <c r="AIF13" s="199"/>
      <c r="AIG13" s="199"/>
      <c r="AIH13" s="199"/>
      <c r="AII13" s="199"/>
      <c r="AIJ13" s="199"/>
      <c r="AIK13" s="199"/>
      <c r="AIL13" s="199"/>
      <c r="AIM13" s="199"/>
      <c r="AIN13" s="199"/>
      <c r="AIO13" s="199"/>
      <c r="AIP13" s="199"/>
      <c r="AIQ13" s="199"/>
      <c r="AIR13" s="199"/>
      <c r="AIS13" s="199"/>
      <c r="AIT13" s="199"/>
      <c r="AIU13" s="199"/>
      <c r="AIV13" s="199"/>
      <c r="AIW13" s="199"/>
      <c r="AIX13" s="199"/>
      <c r="AIY13" s="199"/>
      <c r="AIZ13" s="199"/>
      <c r="AJA13" s="199"/>
      <c r="AJB13" s="199"/>
      <c r="AJC13" s="199"/>
      <c r="AJD13" s="199"/>
      <c r="AJE13" s="199"/>
      <c r="AJF13" s="199"/>
      <c r="AJG13" s="199"/>
      <c r="AJH13" s="199"/>
      <c r="AJI13" s="199"/>
      <c r="AJJ13" s="199"/>
      <c r="AJK13" s="199"/>
      <c r="AJL13" s="199"/>
      <c r="AJM13" s="199"/>
      <c r="AJN13" s="199"/>
      <c r="AJO13" s="199"/>
      <c r="AJP13" s="199"/>
      <c r="AJQ13" s="199"/>
      <c r="AJR13" s="199"/>
      <c r="AJS13" s="199"/>
      <c r="AJT13" s="199"/>
      <c r="AJU13" s="199"/>
      <c r="AJV13" s="199"/>
      <c r="AJW13" s="199"/>
      <c r="AJX13" s="199"/>
      <c r="AJY13" s="199"/>
      <c r="AJZ13" s="199"/>
      <c r="AKA13" s="199"/>
      <c r="AKB13" s="199"/>
      <c r="AKC13" s="200"/>
      <c r="AKD13" s="198" t="s">
        <v>92</v>
      </c>
      <c r="AKE13" s="199"/>
      <c r="AKF13" s="199"/>
      <c r="AKG13" s="199"/>
      <c r="AKH13" s="199"/>
      <c r="AKI13" s="199"/>
      <c r="AKJ13" s="199"/>
      <c r="AKK13" s="199"/>
      <c r="AKL13" s="199"/>
      <c r="AKM13" s="199"/>
      <c r="AKN13" s="199"/>
      <c r="AKO13" s="199"/>
      <c r="AKP13" s="199"/>
      <c r="AKQ13" s="199"/>
      <c r="AKR13" s="199"/>
      <c r="AKS13" s="199"/>
      <c r="AKT13" s="199"/>
      <c r="AKU13" s="199"/>
      <c r="AKV13" s="199"/>
      <c r="AKW13" s="199"/>
      <c r="AKX13" s="199"/>
      <c r="AKY13" s="199"/>
      <c r="AKZ13" s="199"/>
      <c r="ALA13" s="199"/>
      <c r="ALB13" s="199"/>
      <c r="ALC13" s="199"/>
      <c r="ALD13" s="199"/>
      <c r="ALE13" s="199"/>
      <c r="ALF13" s="199"/>
      <c r="ALG13" s="199"/>
      <c r="ALH13" s="199"/>
      <c r="ALI13" s="199"/>
      <c r="ALJ13" s="199"/>
      <c r="ALK13" s="199"/>
      <c r="ALL13" s="199"/>
      <c r="ALM13" s="199"/>
      <c r="ALN13" s="199"/>
      <c r="ALO13" s="199"/>
      <c r="ALP13" s="199"/>
      <c r="ALQ13" s="199"/>
      <c r="ALR13" s="199"/>
      <c r="ALS13" s="199"/>
      <c r="ALT13" s="199"/>
      <c r="ALU13" s="199"/>
      <c r="ALV13" s="199"/>
      <c r="ALW13" s="199"/>
      <c r="ALX13" s="199"/>
      <c r="ALY13" s="199"/>
      <c r="ALZ13" s="199"/>
      <c r="AMA13" s="199"/>
      <c r="AMB13" s="199"/>
      <c r="AMC13" s="199"/>
      <c r="AMD13" s="199"/>
      <c r="AME13" s="199"/>
      <c r="AMF13" s="199"/>
      <c r="AMG13" s="199"/>
      <c r="AMH13" s="199"/>
      <c r="AMI13" s="199"/>
      <c r="AMJ13" s="199"/>
      <c r="AMK13" s="200"/>
      <c r="AML13" s="198" t="s">
        <v>90</v>
      </c>
      <c r="AMM13" s="199"/>
      <c r="AMN13" s="199"/>
      <c r="AMO13" s="199"/>
      <c r="AMP13" s="199"/>
      <c r="AMQ13" s="199"/>
      <c r="AMR13" s="199"/>
      <c r="AMS13" s="199"/>
      <c r="AMT13" s="199"/>
      <c r="AMU13" s="199"/>
      <c r="AMV13" s="199"/>
      <c r="AMW13" s="199"/>
      <c r="AMX13" s="199"/>
      <c r="AMY13" s="199"/>
      <c r="AMZ13" s="199"/>
      <c r="ANA13" s="199"/>
      <c r="ANB13" s="199"/>
      <c r="ANC13" s="199"/>
      <c r="AND13" s="199"/>
      <c r="ANE13" s="199"/>
      <c r="ANF13" s="199"/>
      <c r="ANG13" s="199"/>
      <c r="ANH13" s="199"/>
      <c r="ANI13" s="199"/>
      <c r="ANJ13" s="199"/>
      <c r="ANK13" s="199"/>
      <c r="ANL13" s="199"/>
      <c r="ANM13" s="199"/>
      <c r="ANN13" s="199"/>
      <c r="ANO13" s="199"/>
      <c r="ANP13" s="199"/>
      <c r="ANQ13" s="199"/>
      <c r="ANR13" s="199"/>
      <c r="ANS13" s="199"/>
      <c r="ANT13" s="199"/>
      <c r="ANU13" s="199"/>
      <c r="ANV13" s="199"/>
      <c r="ANW13" s="199"/>
      <c r="ANX13" s="199"/>
      <c r="ANY13" s="199"/>
      <c r="ANZ13" s="199"/>
      <c r="AOA13" s="199"/>
      <c r="AOB13" s="199"/>
      <c r="AOC13" s="199"/>
      <c r="AOD13" s="199"/>
      <c r="AOE13" s="199"/>
      <c r="AOF13" s="199"/>
      <c r="AOG13" s="199"/>
      <c r="AOH13" s="199"/>
      <c r="AOI13" s="199"/>
      <c r="AOJ13" s="199"/>
      <c r="AOK13" s="199"/>
      <c r="AOL13" s="199"/>
      <c r="AOM13" s="199"/>
      <c r="AON13" s="199"/>
      <c r="AOO13" s="199"/>
      <c r="AOP13" s="199"/>
      <c r="AOQ13" s="199"/>
      <c r="AOR13" s="199"/>
      <c r="AOS13" s="200"/>
      <c r="AOT13" s="198" t="s">
        <v>89</v>
      </c>
      <c r="AOU13" s="199"/>
      <c r="AOV13" s="199"/>
      <c r="AOW13" s="199"/>
      <c r="AOX13" s="199"/>
      <c r="AOY13" s="199"/>
      <c r="AOZ13" s="199"/>
      <c r="APA13" s="199"/>
      <c r="APB13" s="199"/>
      <c r="APC13" s="199"/>
      <c r="APD13" s="199"/>
      <c r="APE13" s="199"/>
      <c r="APF13" s="199"/>
      <c r="APG13" s="199"/>
      <c r="APH13" s="199"/>
      <c r="API13" s="199"/>
      <c r="APJ13" s="199"/>
      <c r="APK13" s="199"/>
      <c r="APL13" s="199"/>
      <c r="APM13" s="199"/>
      <c r="APN13" s="199"/>
      <c r="APO13" s="199"/>
      <c r="APP13" s="199"/>
      <c r="APQ13" s="199"/>
      <c r="APR13" s="199"/>
      <c r="APS13" s="199"/>
      <c r="APT13" s="199"/>
      <c r="APU13" s="199"/>
      <c r="APV13" s="199"/>
      <c r="APW13" s="199"/>
      <c r="APX13" s="199"/>
      <c r="APY13" s="199"/>
      <c r="APZ13" s="199"/>
      <c r="AQA13" s="199"/>
      <c r="AQB13" s="199"/>
      <c r="AQC13" s="199"/>
      <c r="AQD13" s="199"/>
      <c r="AQE13" s="199"/>
      <c r="AQF13" s="199"/>
      <c r="AQG13" s="199"/>
      <c r="AQH13" s="199"/>
      <c r="AQI13" s="199"/>
      <c r="AQJ13" s="199"/>
      <c r="AQK13" s="199"/>
      <c r="AQL13" s="199"/>
      <c r="AQM13" s="199"/>
      <c r="AQN13" s="199"/>
      <c r="AQO13" s="199"/>
      <c r="AQP13" s="199"/>
      <c r="AQQ13" s="199"/>
      <c r="AQR13" s="199"/>
      <c r="AQS13" s="199"/>
      <c r="AQT13" s="199"/>
      <c r="AQU13" s="199"/>
      <c r="AQV13" s="199"/>
      <c r="AQW13" s="199"/>
      <c r="AQX13" s="199"/>
      <c r="AQY13" s="199"/>
      <c r="AQZ13" s="199"/>
      <c r="ARA13" s="200"/>
      <c r="ARB13" s="198" t="s">
        <v>87</v>
      </c>
      <c r="ARC13" s="199"/>
      <c r="ARD13" s="199"/>
      <c r="ARE13" s="199"/>
      <c r="ARF13" s="199"/>
      <c r="ARG13" s="199"/>
      <c r="ARH13" s="199"/>
      <c r="ARI13" s="199"/>
      <c r="ARJ13" s="199"/>
      <c r="ARK13" s="199"/>
      <c r="ARL13" s="199"/>
      <c r="ARM13" s="199"/>
      <c r="ARN13" s="199"/>
      <c r="ARO13" s="199"/>
      <c r="ARP13" s="199"/>
      <c r="ARQ13" s="199"/>
      <c r="ARR13" s="199"/>
      <c r="ARS13" s="199"/>
      <c r="ART13" s="199"/>
      <c r="ARU13" s="199"/>
      <c r="ARV13" s="199"/>
      <c r="ARW13" s="199"/>
      <c r="ARX13" s="199"/>
      <c r="ARY13" s="199"/>
      <c r="ARZ13" s="199"/>
      <c r="ASA13" s="199"/>
      <c r="ASB13" s="199"/>
      <c r="ASC13" s="199"/>
      <c r="ASD13" s="199"/>
      <c r="ASE13" s="199"/>
      <c r="ASF13" s="199"/>
      <c r="ASG13" s="199"/>
      <c r="ASH13" s="199"/>
      <c r="ASI13" s="199"/>
      <c r="ASJ13" s="199"/>
      <c r="ASK13" s="199"/>
      <c r="ASL13" s="199"/>
      <c r="ASM13" s="199"/>
      <c r="ASN13" s="199"/>
      <c r="ASO13" s="199"/>
      <c r="ASP13" s="199"/>
      <c r="ASQ13" s="199"/>
      <c r="ASR13" s="199"/>
      <c r="ASS13" s="199"/>
      <c r="AST13" s="199"/>
      <c r="ASU13" s="199"/>
      <c r="ASV13" s="199"/>
      <c r="ASW13" s="199"/>
      <c r="ASX13" s="199"/>
      <c r="ASY13" s="199"/>
      <c r="ASZ13" s="199"/>
      <c r="ATA13" s="199"/>
      <c r="ATB13" s="199"/>
      <c r="ATC13" s="199"/>
      <c r="ATD13" s="199"/>
      <c r="ATE13" s="199"/>
      <c r="ATF13" s="199"/>
      <c r="ATG13" s="199"/>
      <c r="ATH13" s="199"/>
      <c r="ATI13" s="200"/>
      <c r="ATJ13" s="198" t="s">
        <v>85</v>
      </c>
      <c r="ATK13" s="199"/>
      <c r="ATL13" s="199"/>
      <c r="ATM13" s="199"/>
      <c r="ATN13" s="199"/>
      <c r="ATO13" s="199"/>
      <c r="ATP13" s="199"/>
      <c r="ATQ13" s="199"/>
      <c r="ATR13" s="199"/>
      <c r="ATS13" s="199"/>
      <c r="ATT13" s="199"/>
      <c r="ATU13" s="199"/>
      <c r="ATV13" s="199"/>
      <c r="ATW13" s="199"/>
      <c r="ATX13" s="199"/>
      <c r="ATY13" s="199"/>
      <c r="ATZ13" s="199"/>
      <c r="AUA13" s="199"/>
      <c r="AUB13" s="199"/>
      <c r="AUC13" s="199"/>
      <c r="AUD13" s="199"/>
      <c r="AUE13" s="199"/>
      <c r="AUF13" s="199"/>
      <c r="AUG13" s="199"/>
      <c r="AUH13" s="199"/>
      <c r="AUI13" s="199"/>
      <c r="AUJ13" s="199"/>
      <c r="AUK13" s="199"/>
      <c r="AUL13" s="199"/>
      <c r="AUM13" s="199"/>
      <c r="AUN13" s="199"/>
      <c r="AUO13" s="199"/>
      <c r="AUP13" s="199"/>
      <c r="AUQ13" s="199"/>
      <c r="AUR13" s="199"/>
      <c r="AUS13" s="199"/>
      <c r="AUT13" s="199"/>
      <c r="AUU13" s="199"/>
      <c r="AUV13" s="199"/>
      <c r="AUW13" s="199"/>
      <c r="AUX13" s="199"/>
      <c r="AUY13" s="199"/>
      <c r="AUZ13" s="199"/>
      <c r="AVA13" s="199"/>
      <c r="AVB13" s="199"/>
      <c r="AVC13" s="199"/>
      <c r="AVD13" s="199"/>
      <c r="AVE13" s="199"/>
      <c r="AVF13" s="199"/>
      <c r="AVG13" s="199"/>
      <c r="AVH13" s="199"/>
      <c r="AVI13" s="199"/>
      <c r="AVJ13" s="199"/>
      <c r="AVK13" s="199"/>
      <c r="AVL13" s="199"/>
      <c r="AVM13" s="199"/>
      <c r="AVN13" s="199"/>
      <c r="AVO13" s="199"/>
      <c r="AVP13" s="199"/>
      <c r="AVQ13" s="200"/>
      <c r="AVR13" s="198" t="s">
        <v>84</v>
      </c>
      <c r="AVS13" s="199"/>
      <c r="AVT13" s="199"/>
      <c r="AVU13" s="199"/>
      <c r="AVV13" s="199"/>
      <c r="AVW13" s="199"/>
      <c r="AVX13" s="199"/>
      <c r="AVY13" s="199"/>
      <c r="AVZ13" s="199"/>
      <c r="AWA13" s="199"/>
      <c r="AWB13" s="199"/>
      <c r="AWC13" s="199"/>
      <c r="AWD13" s="199"/>
      <c r="AWE13" s="199"/>
      <c r="AWF13" s="199"/>
      <c r="AWG13" s="199"/>
      <c r="AWH13" s="199"/>
      <c r="AWI13" s="199"/>
      <c r="AWJ13" s="199"/>
      <c r="AWK13" s="199"/>
      <c r="AWL13" s="199"/>
      <c r="AWM13" s="199"/>
      <c r="AWN13" s="199"/>
      <c r="AWO13" s="199"/>
      <c r="AWP13" s="199"/>
      <c r="AWQ13" s="199"/>
      <c r="AWR13" s="199"/>
      <c r="AWS13" s="199"/>
      <c r="AWT13" s="199"/>
      <c r="AWU13" s="199"/>
      <c r="AWV13" s="199"/>
      <c r="AWW13" s="199"/>
      <c r="AWX13" s="199"/>
      <c r="AWY13" s="199"/>
      <c r="AWZ13" s="199"/>
      <c r="AXA13" s="199"/>
      <c r="AXB13" s="199"/>
      <c r="AXC13" s="199"/>
      <c r="AXD13" s="199"/>
      <c r="AXE13" s="199"/>
      <c r="AXF13" s="199"/>
      <c r="AXG13" s="199"/>
      <c r="AXH13" s="199"/>
      <c r="AXI13" s="199"/>
      <c r="AXJ13" s="199"/>
      <c r="AXK13" s="199"/>
      <c r="AXL13" s="199"/>
      <c r="AXM13" s="199"/>
      <c r="AXN13" s="199"/>
      <c r="AXO13" s="199"/>
      <c r="AXP13" s="199"/>
      <c r="AXQ13" s="199"/>
      <c r="AXR13" s="199"/>
      <c r="AXS13" s="199"/>
      <c r="AXT13" s="199"/>
      <c r="AXU13" s="199"/>
      <c r="AXV13" s="199"/>
      <c r="AXW13" s="199"/>
      <c r="AXX13" s="199"/>
      <c r="AXY13" s="200"/>
      <c r="AXZ13" s="198" t="s">
        <v>82</v>
      </c>
      <c r="AYA13" s="199"/>
      <c r="AYB13" s="199"/>
      <c r="AYC13" s="199"/>
      <c r="AYD13" s="199"/>
      <c r="AYE13" s="199"/>
      <c r="AYF13" s="199"/>
      <c r="AYG13" s="199"/>
      <c r="AYH13" s="199"/>
      <c r="AYI13" s="199"/>
      <c r="AYJ13" s="199"/>
      <c r="AYK13" s="199"/>
      <c r="AYL13" s="199"/>
      <c r="AYM13" s="199"/>
      <c r="AYN13" s="199"/>
      <c r="AYO13" s="199"/>
      <c r="AYP13" s="199"/>
      <c r="AYQ13" s="199"/>
      <c r="AYR13" s="199"/>
      <c r="AYS13" s="199"/>
      <c r="AYT13" s="199"/>
      <c r="AYU13" s="199"/>
      <c r="AYV13" s="199"/>
      <c r="AYW13" s="199"/>
      <c r="AYX13" s="199"/>
      <c r="AYY13" s="199"/>
      <c r="AYZ13" s="199"/>
      <c r="AZA13" s="199"/>
      <c r="AZB13" s="199"/>
      <c r="AZC13" s="199"/>
      <c r="AZD13" s="199"/>
      <c r="AZE13" s="199"/>
      <c r="AZF13" s="199"/>
      <c r="AZG13" s="199"/>
      <c r="AZH13" s="199"/>
      <c r="AZI13" s="199"/>
      <c r="AZJ13" s="199"/>
      <c r="AZK13" s="199"/>
      <c r="AZL13" s="199"/>
      <c r="AZM13" s="199"/>
      <c r="AZN13" s="199"/>
      <c r="AZO13" s="199"/>
      <c r="AZP13" s="199"/>
      <c r="AZQ13" s="199"/>
      <c r="AZR13" s="199"/>
      <c r="AZS13" s="199"/>
      <c r="AZT13" s="199"/>
      <c r="AZU13" s="199"/>
      <c r="AZV13" s="199"/>
      <c r="AZW13" s="199"/>
      <c r="AZX13" s="199"/>
      <c r="AZY13" s="199"/>
      <c r="AZZ13" s="199"/>
      <c r="BAA13" s="199"/>
      <c r="BAB13" s="199"/>
      <c r="BAC13" s="199"/>
      <c r="BAD13" s="199"/>
      <c r="BAE13" s="199"/>
      <c r="BAF13" s="199"/>
      <c r="BAG13" s="200"/>
      <c r="BAH13" s="198" t="s">
        <v>81</v>
      </c>
      <c r="BAI13" s="199"/>
      <c r="BAJ13" s="199"/>
      <c r="BAK13" s="199"/>
      <c r="BAL13" s="199"/>
      <c r="BAM13" s="199"/>
      <c r="BAN13" s="199"/>
      <c r="BAO13" s="199"/>
      <c r="BAP13" s="199"/>
      <c r="BAQ13" s="199"/>
      <c r="BAR13" s="199"/>
      <c r="BAS13" s="199"/>
      <c r="BAT13" s="199"/>
      <c r="BAU13" s="199"/>
      <c r="BAV13" s="199"/>
      <c r="BAW13" s="199"/>
      <c r="BAX13" s="199"/>
      <c r="BAY13" s="199"/>
      <c r="BAZ13" s="199"/>
      <c r="BBA13" s="199"/>
      <c r="BBB13" s="199"/>
      <c r="BBC13" s="199"/>
      <c r="BBD13" s="199"/>
      <c r="BBE13" s="199"/>
      <c r="BBF13" s="199"/>
      <c r="BBG13" s="199"/>
      <c r="BBH13" s="199"/>
      <c r="BBI13" s="199"/>
      <c r="BBJ13" s="199"/>
      <c r="BBK13" s="199"/>
      <c r="BBL13" s="199"/>
      <c r="BBM13" s="199"/>
      <c r="BBN13" s="199"/>
      <c r="BBO13" s="199"/>
      <c r="BBP13" s="199"/>
      <c r="BBQ13" s="199"/>
      <c r="BBR13" s="199"/>
      <c r="BBS13" s="199"/>
      <c r="BBT13" s="199"/>
      <c r="BBU13" s="199"/>
      <c r="BBV13" s="199"/>
      <c r="BBW13" s="199"/>
      <c r="BBX13" s="199"/>
      <c r="BBY13" s="199"/>
      <c r="BBZ13" s="199"/>
      <c r="BCA13" s="199"/>
      <c r="BCB13" s="199"/>
      <c r="BCC13" s="199"/>
      <c r="BCD13" s="199"/>
      <c r="BCE13" s="199"/>
      <c r="BCF13" s="199"/>
      <c r="BCG13" s="199"/>
      <c r="BCH13" s="199"/>
      <c r="BCI13" s="199"/>
      <c r="BCJ13" s="199"/>
      <c r="BCK13" s="199"/>
      <c r="BCL13" s="199"/>
      <c r="BCM13" s="199"/>
      <c r="BCN13" s="199"/>
      <c r="BCO13" s="200"/>
      <c r="BCP13" s="198" t="s">
        <v>79</v>
      </c>
      <c r="BCQ13" s="199"/>
      <c r="BCR13" s="199"/>
      <c r="BCS13" s="199"/>
      <c r="BCT13" s="199"/>
      <c r="BCU13" s="199"/>
      <c r="BCV13" s="199"/>
      <c r="BCW13" s="199"/>
      <c r="BCX13" s="199"/>
      <c r="BCY13" s="199"/>
      <c r="BCZ13" s="199"/>
      <c r="BDA13" s="199"/>
      <c r="BDB13" s="199"/>
      <c r="BDC13" s="199"/>
      <c r="BDD13" s="199"/>
      <c r="BDE13" s="199"/>
      <c r="BDF13" s="199"/>
      <c r="BDG13" s="199"/>
      <c r="BDH13" s="199"/>
      <c r="BDI13" s="199"/>
      <c r="BDJ13" s="199"/>
      <c r="BDK13" s="199"/>
      <c r="BDL13" s="199"/>
      <c r="BDM13" s="199"/>
      <c r="BDN13" s="199"/>
      <c r="BDO13" s="199"/>
      <c r="BDP13" s="199"/>
      <c r="BDQ13" s="199"/>
      <c r="BDR13" s="199"/>
      <c r="BDS13" s="199"/>
      <c r="BDT13" s="199"/>
      <c r="BDU13" s="199"/>
      <c r="BDV13" s="199"/>
      <c r="BDW13" s="199"/>
      <c r="BDX13" s="199"/>
      <c r="BDY13" s="199"/>
      <c r="BDZ13" s="199"/>
      <c r="BEA13" s="199"/>
      <c r="BEB13" s="199"/>
      <c r="BEC13" s="199"/>
      <c r="BED13" s="199"/>
      <c r="BEE13" s="199"/>
      <c r="BEF13" s="199"/>
      <c r="BEG13" s="199"/>
      <c r="BEH13" s="199"/>
      <c r="BEI13" s="199"/>
      <c r="BEJ13" s="199"/>
      <c r="BEK13" s="199"/>
      <c r="BEL13" s="199"/>
      <c r="BEM13" s="199"/>
      <c r="BEN13" s="199"/>
      <c r="BEO13" s="199"/>
      <c r="BEP13" s="199"/>
      <c r="BEQ13" s="199"/>
      <c r="BER13" s="199"/>
      <c r="BES13" s="199"/>
      <c r="BET13" s="199"/>
      <c r="BEU13" s="199"/>
      <c r="BEV13" s="199"/>
      <c r="BEW13" s="200"/>
      <c r="BEX13" s="198" t="s">
        <v>78</v>
      </c>
      <c r="BEY13" s="199"/>
      <c r="BEZ13" s="199"/>
      <c r="BFA13" s="199"/>
      <c r="BFB13" s="199"/>
      <c r="BFC13" s="199"/>
      <c r="BFD13" s="199"/>
      <c r="BFE13" s="199"/>
      <c r="BFF13" s="199"/>
      <c r="BFG13" s="199"/>
      <c r="BFH13" s="199"/>
      <c r="BFI13" s="199"/>
      <c r="BFJ13" s="199"/>
      <c r="BFK13" s="199"/>
      <c r="BFL13" s="199"/>
      <c r="BFM13" s="199"/>
      <c r="BFN13" s="199"/>
      <c r="BFO13" s="199"/>
      <c r="BFP13" s="199"/>
      <c r="BFQ13" s="199"/>
      <c r="BFR13" s="199"/>
      <c r="BFS13" s="199"/>
      <c r="BFT13" s="199"/>
      <c r="BFU13" s="199"/>
      <c r="BFV13" s="199"/>
      <c r="BFW13" s="199"/>
      <c r="BFX13" s="199"/>
      <c r="BFY13" s="199"/>
      <c r="BFZ13" s="199"/>
      <c r="BGA13" s="199"/>
      <c r="BGB13" s="199"/>
      <c r="BGC13" s="199"/>
      <c r="BGD13" s="199"/>
      <c r="BGE13" s="199"/>
      <c r="BGF13" s="199"/>
      <c r="BGG13" s="199"/>
      <c r="BGH13" s="199"/>
      <c r="BGI13" s="199"/>
      <c r="BGJ13" s="199"/>
      <c r="BGK13" s="199"/>
      <c r="BGL13" s="199"/>
      <c r="BGM13" s="199"/>
      <c r="BGN13" s="199"/>
      <c r="BGO13" s="199"/>
      <c r="BGP13" s="199"/>
      <c r="BGQ13" s="199"/>
      <c r="BGR13" s="199"/>
      <c r="BGS13" s="199"/>
      <c r="BGT13" s="199"/>
      <c r="BGU13" s="199"/>
      <c r="BGV13" s="199"/>
      <c r="BGW13" s="199"/>
      <c r="BGX13" s="199"/>
      <c r="BGY13" s="199"/>
      <c r="BGZ13" s="199"/>
      <c r="BHA13" s="199"/>
      <c r="BHB13" s="199"/>
      <c r="BHC13" s="199"/>
      <c r="BHD13" s="199"/>
      <c r="BHE13" s="200"/>
      <c r="BHF13" s="198" t="s">
        <v>76</v>
      </c>
      <c r="BHG13" s="199"/>
      <c r="BHH13" s="199"/>
      <c r="BHI13" s="199"/>
      <c r="BHJ13" s="199"/>
      <c r="BHK13" s="199"/>
      <c r="BHL13" s="199"/>
      <c r="BHM13" s="199"/>
      <c r="BHN13" s="199"/>
      <c r="BHO13" s="199"/>
      <c r="BHP13" s="199"/>
      <c r="BHQ13" s="199"/>
      <c r="BHR13" s="199"/>
      <c r="BHS13" s="199"/>
      <c r="BHT13" s="199"/>
      <c r="BHU13" s="199"/>
      <c r="BHV13" s="199"/>
      <c r="BHW13" s="199"/>
      <c r="BHX13" s="199"/>
      <c r="BHY13" s="199"/>
      <c r="BHZ13" s="199"/>
      <c r="BIA13" s="199"/>
      <c r="BIB13" s="199"/>
      <c r="BIC13" s="199"/>
      <c r="BID13" s="199"/>
      <c r="BIE13" s="199"/>
      <c r="BIF13" s="199"/>
      <c r="BIG13" s="199"/>
      <c r="BIH13" s="199"/>
      <c r="BII13" s="199"/>
      <c r="BIJ13" s="199"/>
      <c r="BIK13" s="199"/>
      <c r="BIL13" s="199"/>
      <c r="BIM13" s="199"/>
      <c r="BIN13" s="199"/>
      <c r="BIO13" s="199"/>
      <c r="BIP13" s="199"/>
      <c r="BIQ13" s="199"/>
      <c r="BIR13" s="199"/>
      <c r="BIS13" s="199"/>
      <c r="BIT13" s="199"/>
      <c r="BIU13" s="199"/>
      <c r="BIV13" s="199"/>
      <c r="BIW13" s="199"/>
      <c r="BIX13" s="199"/>
      <c r="BIY13" s="199"/>
      <c r="BIZ13" s="199"/>
      <c r="BJA13" s="199"/>
      <c r="BJB13" s="199"/>
      <c r="BJC13" s="199"/>
      <c r="BJD13" s="199"/>
      <c r="BJE13" s="199"/>
      <c r="BJF13" s="199"/>
      <c r="BJG13" s="199"/>
      <c r="BJH13" s="199"/>
      <c r="BJI13" s="199"/>
      <c r="BJJ13" s="199"/>
      <c r="BJK13" s="199"/>
      <c r="BJL13" s="199"/>
      <c r="BJM13" s="200"/>
      <c r="BJN13" s="198" t="s">
        <v>11</v>
      </c>
      <c r="BJO13" s="199"/>
      <c r="BJP13" s="199"/>
      <c r="BJQ13" s="199"/>
      <c r="BJR13" s="199"/>
      <c r="BJS13" s="199"/>
      <c r="BJT13" s="199"/>
      <c r="BJU13" s="199"/>
      <c r="BJV13" s="199"/>
      <c r="BJW13" s="199"/>
      <c r="BJX13" s="199"/>
      <c r="BJY13" s="199"/>
      <c r="BJZ13" s="199"/>
      <c r="BKA13" s="199"/>
      <c r="BKB13" s="199"/>
      <c r="BKC13" s="199"/>
      <c r="BKD13" s="199"/>
      <c r="BKE13" s="199"/>
      <c r="BKF13" s="199"/>
      <c r="BKG13" s="199"/>
      <c r="BKH13" s="199"/>
      <c r="BKI13" s="199"/>
      <c r="BKJ13" s="199"/>
      <c r="BKK13" s="199"/>
      <c r="BKL13" s="199"/>
      <c r="BKM13" s="199"/>
      <c r="BKN13" s="199"/>
      <c r="BKO13" s="199"/>
      <c r="BKP13" s="199"/>
      <c r="BKQ13" s="199"/>
      <c r="BKR13" s="199"/>
      <c r="BKS13" s="199"/>
      <c r="BKT13" s="199"/>
      <c r="BKU13" s="199"/>
      <c r="BKV13" s="199"/>
      <c r="BKW13" s="199"/>
      <c r="BKX13" s="199"/>
      <c r="BKY13" s="199"/>
      <c r="BKZ13" s="199"/>
      <c r="BLA13" s="199"/>
      <c r="BLB13" s="199"/>
      <c r="BLC13" s="199"/>
      <c r="BLD13" s="199"/>
      <c r="BLE13" s="199"/>
      <c r="BLF13" s="199"/>
      <c r="BLG13" s="199"/>
      <c r="BLH13" s="199"/>
      <c r="BLI13" s="199"/>
      <c r="BLJ13" s="199"/>
      <c r="BLK13" s="199"/>
      <c r="BLL13" s="199"/>
      <c r="BLM13" s="199"/>
      <c r="BLN13" s="199"/>
      <c r="BLO13" s="199"/>
      <c r="BLP13" s="199"/>
      <c r="BLQ13" s="199"/>
      <c r="BLR13" s="199"/>
      <c r="BLS13" s="199"/>
      <c r="BLT13" s="199"/>
      <c r="BLU13" s="200"/>
      <c r="BLV13" s="198" t="s">
        <v>11</v>
      </c>
      <c r="BLW13" s="199"/>
      <c r="BLX13" s="199"/>
      <c r="BLY13" s="199"/>
      <c r="BLZ13" s="199"/>
      <c r="BMA13" s="199"/>
      <c r="BMB13" s="199"/>
      <c r="BMC13" s="199"/>
      <c r="BMD13" s="199"/>
      <c r="BME13" s="199"/>
      <c r="BMF13" s="199"/>
      <c r="BMG13" s="199"/>
      <c r="BMH13" s="199"/>
      <c r="BMI13" s="199"/>
      <c r="BMJ13" s="199"/>
      <c r="BMK13" s="199"/>
      <c r="BML13" s="199"/>
      <c r="BMM13" s="199"/>
      <c r="BMN13" s="199"/>
      <c r="BMO13" s="199"/>
      <c r="BMP13" s="199"/>
      <c r="BMQ13" s="199"/>
      <c r="BMR13" s="199"/>
      <c r="BMS13" s="199"/>
      <c r="BMT13" s="199"/>
      <c r="BMU13" s="199"/>
      <c r="BMV13" s="199"/>
      <c r="BMW13" s="199"/>
      <c r="BMX13" s="199"/>
      <c r="BMY13" s="199"/>
      <c r="BMZ13" s="199"/>
      <c r="BNA13" s="199"/>
      <c r="BNB13" s="199"/>
      <c r="BNC13" s="199"/>
      <c r="BND13" s="199"/>
      <c r="BNE13" s="199"/>
      <c r="BNF13" s="199"/>
      <c r="BNG13" s="199"/>
      <c r="BNH13" s="199"/>
      <c r="BNI13" s="199"/>
      <c r="BNJ13" s="199"/>
      <c r="BNK13" s="199"/>
      <c r="BNL13" s="199"/>
      <c r="BNM13" s="199"/>
      <c r="BNN13" s="199"/>
      <c r="BNO13" s="199"/>
      <c r="BNP13" s="199"/>
      <c r="BNQ13" s="199"/>
      <c r="BNR13" s="199"/>
      <c r="BNS13" s="199"/>
      <c r="BNT13" s="199"/>
      <c r="BNU13" s="199"/>
      <c r="BNV13" s="199"/>
      <c r="BNW13" s="199"/>
      <c r="BNX13" s="199"/>
      <c r="BNY13" s="199"/>
      <c r="BNZ13" s="199"/>
      <c r="BOA13" s="199"/>
      <c r="BOB13" s="199"/>
      <c r="BOC13" s="200"/>
      <c r="BOD13" s="90"/>
    </row>
    <row r="14" spans="1:1746" ht="12.75" customHeight="1" thickBot="1" x14ac:dyDescent="0.35">
      <c r="B14" s="96"/>
      <c r="C14" s="215"/>
      <c r="D14" s="145"/>
      <c r="E14" s="217"/>
      <c r="F14" s="103"/>
      <c r="G14" s="104"/>
      <c r="H14" s="104"/>
      <c r="I14" s="104"/>
      <c r="J14" s="201" t="s">
        <v>33</v>
      </c>
      <c r="K14" s="201"/>
      <c r="L14" s="201"/>
      <c r="M14" s="201"/>
      <c r="N14" s="104"/>
      <c r="O14" s="104"/>
      <c r="P14" s="202" t="s">
        <v>23</v>
      </c>
      <c r="Q14" s="202"/>
      <c r="R14" s="202"/>
      <c r="S14" s="202"/>
      <c r="T14" s="129"/>
      <c r="U14" s="129"/>
      <c r="V14" s="201" t="s">
        <v>34</v>
      </c>
      <c r="W14" s="201"/>
      <c r="X14" s="201"/>
      <c r="Y14" s="201"/>
      <c r="Z14" s="104"/>
      <c r="AA14" s="104"/>
      <c r="AB14" s="202" t="s">
        <v>24</v>
      </c>
      <c r="AC14" s="202"/>
      <c r="AD14" s="202"/>
      <c r="AE14" s="202"/>
      <c r="AF14" s="129"/>
      <c r="AG14" s="129"/>
      <c r="AH14" s="201" t="s">
        <v>35</v>
      </c>
      <c r="AI14" s="201"/>
      <c r="AJ14" s="201"/>
      <c r="AK14" s="201"/>
      <c r="AL14" s="104"/>
      <c r="AM14" s="104"/>
      <c r="AN14" s="202" t="s">
        <v>25</v>
      </c>
      <c r="AO14" s="202"/>
      <c r="AP14" s="202"/>
      <c r="AQ14" s="202"/>
      <c r="AR14" s="129"/>
      <c r="AS14" s="129"/>
      <c r="AT14" s="201" t="s">
        <v>36</v>
      </c>
      <c r="AU14" s="201"/>
      <c r="AV14" s="201"/>
      <c r="AW14" s="201"/>
      <c r="AX14" s="104"/>
      <c r="AY14" s="104"/>
      <c r="AZ14" s="202" t="s">
        <v>26</v>
      </c>
      <c r="BA14" s="202"/>
      <c r="BB14" s="202"/>
      <c r="BC14" s="202"/>
      <c r="BD14" s="129"/>
      <c r="BE14" s="129"/>
      <c r="BF14" s="201" t="s">
        <v>37</v>
      </c>
      <c r="BG14" s="201"/>
      <c r="BH14" s="201"/>
      <c r="BI14" s="201"/>
      <c r="BJ14" s="104"/>
      <c r="BK14" s="104"/>
      <c r="BL14" s="104"/>
      <c r="BM14" s="105"/>
      <c r="BN14" s="103"/>
      <c r="BO14" s="104"/>
      <c r="BP14" s="104"/>
      <c r="BQ14" s="104"/>
      <c r="BR14" s="201" t="s">
        <v>33</v>
      </c>
      <c r="BS14" s="201"/>
      <c r="BT14" s="201"/>
      <c r="BU14" s="201"/>
      <c r="BV14" s="104"/>
      <c r="BW14" s="104"/>
      <c r="BX14" s="202" t="s">
        <v>23</v>
      </c>
      <c r="BY14" s="202"/>
      <c r="BZ14" s="202"/>
      <c r="CA14" s="202"/>
      <c r="CB14" s="129"/>
      <c r="CC14" s="129"/>
      <c r="CD14" s="201" t="s">
        <v>34</v>
      </c>
      <c r="CE14" s="201"/>
      <c r="CF14" s="201"/>
      <c r="CG14" s="201"/>
      <c r="CH14" s="104"/>
      <c r="CI14" s="104"/>
      <c r="CJ14" s="202" t="s">
        <v>24</v>
      </c>
      <c r="CK14" s="202"/>
      <c r="CL14" s="202"/>
      <c r="CM14" s="202"/>
      <c r="CN14" s="129"/>
      <c r="CO14" s="129"/>
      <c r="CP14" s="201" t="s">
        <v>35</v>
      </c>
      <c r="CQ14" s="201"/>
      <c r="CR14" s="201"/>
      <c r="CS14" s="201"/>
      <c r="CT14" s="104"/>
      <c r="CU14" s="104"/>
      <c r="CV14" s="202" t="s">
        <v>25</v>
      </c>
      <c r="CW14" s="202"/>
      <c r="CX14" s="202"/>
      <c r="CY14" s="202"/>
      <c r="CZ14" s="129"/>
      <c r="DA14" s="129"/>
      <c r="DB14" s="201" t="s">
        <v>36</v>
      </c>
      <c r="DC14" s="201"/>
      <c r="DD14" s="201"/>
      <c r="DE14" s="201"/>
      <c r="DF14" s="104"/>
      <c r="DG14" s="104"/>
      <c r="DH14" s="202" t="s">
        <v>26</v>
      </c>
      <c r="DI14" s="202"/>
      <c r="DJ14" s="202"/>
      <c r="DK14" s="202"/>
      <c r="DL14" s="129"/>
      <c r="DM14" s="129"/>
      <c r="DN14" s="201" t="s">
        <v>37</v>
      </c>
      <c r="DO14" s="201"/>
      <c r="DP14" s="201"/>
      <c r="DQ14" s="201"/>
      <c r="DR14" s="104"/>
      <c r="DS14" s="104"/>
      <c r="DT14" s="104"/>
      <c r="DU14" s="105"/>
      <c r="DV14" s="103"/>
      <c r="DW14" s="104"/>
      <c r="DX14" s="104"/>
      <c r="DY14" s="104"/>
      <c r="DZ14" s="201" t="s">
        <v>33</v>
      </c>
      <c r="EA14" s="201"/>
      <c r="EB14" s="201"/>
      <c r="EC14" s="201"/>
      <c r="ED14" s="104"/>
      <c r="EE14" s="104"/>
      <c r="EF14" s="202" t="s">
        <v>23</v>
      </c>
      <c r="EG14" s="202"/>
      <c r="EH14" s="202"/>
      <c r="EI14" s="202"/>
      <c r="EJ14" s="129"/>
      <c r="EK14" s="129"/>
      <c r="EL14" s="201" t="s">
        <v>34</v>
      </c>
      <c r="EM14" s="201"/>
      <c r="EN14" s="201"/>
      <c r="EO14" s="201"/>
      <c r="EP14" s="104"/>
      <c r="EQ14" s="104"/>
      <c r="ER14" s="202" t="s">
        <v>24</v>
      </c>
      <c r="ES14" s="202"/>
      <c r="ET14" s="202"/>
      <c r="EU14" s="202"/>
      <c r="EV14" s="129"/>
      <c r="EW14" s="129"/>
      <c r="EX14" s="201" t="s">
        <v>35</v>
      </c>
      <c r="EY14" s="201"/>
      <c r="EZ14" s="201"/>
      <c r="FA14" s="201"/>
      <c r="FB14" s="104"/>
      <c r="FC14" s="104"/>
      <c r="FD14" s="202" t="s">
        <v>25</v>
      </c>
      <c r="FE14" s="202"/>
      <c r="FF14" s="202"/>
      <c r="FG14" s="202"/>
      <c r="FH14" s="129"/>
      <c r="FI14" s="129"/>
      <c r="FJ14" s="201" t="s">
        <v>36</v>
      </c>
      <c r="FK14" s="201"/>
      <c r="FL14" s="201"/>
      <c r="FM14" s="201"/>
      <c r="FN14" s="104"/>
      <c r="FO14" s="104"/>
      <c r="FP14" s="202" t="s">
        <v>26</v>
      </c>
      <c r="FQ14" s="202"/>
      <c r="FR14" s="202"/>
      <c r="FS14" s="202"/>
      <c r="FT14" s="129"/>
      <c r="FU14" s="129"/>
      <c r="FV14" s="201" t="s">
        <v>37</v>
      </c>
      <c r="FW14" s="201"/>
      <c r="FX14" s="201"/>
      <c r="FY14" s="201"/>
      <c r="FZ14" s="104"/>
      <c r="GA14" s="104"/>
      <c r="GB14" s="104"/>
      <c r="GC14" s="105"/>
      <c r="GD14" s="103"/>
      <c r="GE14" s="104"/>
      <c r="GF14" s="104"/>
      <c r="GG14" s="104"/>
      <c r="GH14" s="201" t="s">
        <v>33</v>
      </c>
      <c r="GI14" s="201"/>
      <c r="GJ14" s="201"/>
      <c r="GK14" s="201"/>
      <c r="GL14" s="104"/>
      <c r="GM14" s="104"/>
      <c r="GN14" s="202" t="s">
        <v>23</v>
      </c>
      <c r="GO14" s="202"/>
      <c r="GP14" s="202"/>
      <c r="GQ14" s="202"/>
      <c r="GR14" s="129"/>
      <c r="GS14" s="129"/>
      <c r="GT14" s="201" t="s">
        <v>34</v>
      </c>
      <c r="GU14" s="201"/>
      <c r="GV14" s="201"/>
      <c r="GW14" s="201"/>
      <c r="GX14" s="104"/>
      <c r="GY14" s="104"/>
      <c r="GZ14" s="202" t="s">
        <v>24</v>
      </c>
      <c r="HA14" s="202"/>
      <c r="HB14" s="202"/>
      <c r="HC14" s="202"/>
      <c r="HD14" s="129"/>
      <c r="HE14" s="129"/>
      <c r="HF14" s="201" t="s">
        <v>35</v>
      </c>
      <c r="HG14" s="201"/>
      <c r="HH14" s="201"/>
      <c r="HI14" s="201"/>
      <c r="HJ14" s="104"/>
      <c r="HK14" s="104"/>
      <c r="HL14" s="202" t="s">
        <v>25</v>
      </c>
      <c r="HM14" s="202"/>
      <c r="HN14" s="202"/>
      <c r="HO14" s="202"/>
      <c r="HP14" s="129"/>
      <c r="HQ14" s="129"/>
      <c r="HR14" s="201" t="s">
        <v>36</v>
      </c>
      <c r="HS14" s="201"/>
      <c r="HT14" s="201"/>
      <c r="HU14" s="201"/>
      <c r="HV14" s="104"/>
      <c r="HW14" s="104"/>
      <c r="HX14" s="202" t="s">
        <v>26</v>
      </c>
      <c r="HY14" s="202"/>
      <c r="HZ14" s="202"/>
      <c r="IA14" s="202"/>
      <c r="IB14" s="129"/>
      <c r="IC14" s="129"/>
      <c r="ID14" s="201" t="s">
        <v>37</v>
      </c>
      <c r="IE14" s="201"/>
      <c r="IF14" s="201"/>
      <c r="IG14" s="201"/>
      <c r="IH14" s="104"/>
      <c r="II14" s="104"/>
      <c r="IJ14" s="104"/>
      <c r="IK14" s="105"/>
      <c r="IL14" s="103"/>
      <c r="IM14" s="104"/>
      <c r="IN14" s="104"/>
      <c r="IO14" s="104"/>
      <c r="IP14" s="201" t="s">
        <v>33</v>
      </c>
      <c r="IQ14" s="201"/>
      <c r="IR14" s="201"/>
      <c r="IS14" s="201"/>
      <c r="IT14" s="104"/>
      <c r="IU14" s="104"/>
      <c r="IV14" s="202" t="s">
        <v>23</v>
      </c>
      <c r="IW14" s="202"/>
      <c r="IX14" s="202"/>
      <c r="IY14" s="202"/>
      <c r="IZ14" s="129"/>
      <c r="JA14" s="129"/>
      <c r="JB14" s="201" t="s">
        <v>34</v>
      </c>
      <c r="JC14" s="201"/>
      <c r="JD14" s="201"/>
      <c r="JE14" s="201"/>
      <c r="JF14" s="104"/>
      <c r="JG14" s="104"/>
      <c r="JH14" s="202" t="s">
        <v>24</v>
      </c>
      <c r="JI14" s="202"/>
      <c r="JJ14" s="202"/>
      <c r="JK14" s="202"/>
      <c r="JL14" s="129"/>
      <c r="JM14" s="129"/>
      <c r="JN14" s="201" t="s">
        <v>35</v>
      </c>
      <c r="JO14" s="201"/>
      <c r="JP14" s="201"/>
      <c r="JQ14" s="201"/>
      <c r="JR14" s="104"/>
      <c r="JS14" s="104"/>
      <c r="JT14" s="202" t="s">
        <v>25</v>
      </c>
      <c r="JU14" s="202"/>
      <c r="JV14" s="202"/>
      <c r="JW14" s="202"/>
      <c r="JX14" s="129"/>
      <c r="JY14" s="129"/>
      <c r="JZ14" s="201" t="s">
        <v>36</v>
      </c>
      <c r="KA14" s="201"/>
      <c r="KB14" s="201"/>
      <c r="KC14" s="201"/>
      <c r="KD14" s="104"/>
      <c r="KE14" s="104"/>
      <c r="KF14" s="202" t="s">
        <v>26</v>
      </c>
      <c r="KG14" s="202"/>
      <c r="KH14" s="202"/>
      <c r="KI14" s="202"/>
      <c r="KJ14" s="129"/>
      <c r="KK14" s="129"/>
      <c r="KL14" s="201" t="s">
        <v>37</v>
      </c>
      <c r="KM14" s="201"/>
      <c r="KN14" s="201"/>
      <c r="KO14" s="201"/>
      <c r="KP14" s="104"/>
      <c r="KQ14" s="104"/>
      <c r="KR14" s="104"/>
      <c r="KS14" s="105"/>
      <c r="KT14" s="103"/>
      <c r="KU14" s="104"/>
      <c r="KV14" s="104"/>
      <c r="KW14" s="104"/>
      <c r="KX14" s="201" t="s">
        <v>33</v>
      </c>
      <c r="KY14" s="201"/>
      <c r="KZ14" s="201"/>
      <c r="LA14" s="201"/>
      <c r="LB14" s="104"/>
      <c r="LC14" s="104"/>
      <c r="LD14" s="202" t="s">
        <v>23</v>
      </c>
      <c r="LE14" s="202"/>
      <c r="LF14" s="202"/>
      <c r="LG14" s="202"/>
      <c r="LH14" s="129"/>
      <c r="LI14" s="129"/>
      <c r="LJ14" s="201" t="s">
        <v>34</v>
      </c>
      <c r="LK14" s="201"/>
      <c r="LL14" s="201"/>
      <c r="LM14" s="201"/>
      <c r="LN14" s="104"/>
      <c r="LO14" s="104"/>
      <c r="LP14" s="202" t="s">
        <v>24</v>
      </c>
      <c r="LQ14" s="202"/>
      <c r="LR14" s="202"/>
      <c r="LS14" s="202"/>
      <c r="LT14" s="129"/>
      <c r="LU14" s="129"/>
      <c r="LV14" s="201" t="s">
        <v>35</v>
      </c>
      <c r="LW14" s="201"/>
      <c r="LX14" s="201"/>
      <c r="LY14" s="201"/>
      <c r="LZ14" s="104"/>
      <c r="MA14" s="104"/>
      <c r="MB14" s="202" t="s">
        <v>25</v>
      </c>
      <c r="MC14" s="202"/>
      <c r="MD14" s="202"/>
      <c r="ME14" s="202"/>
      <c r="MF14" s="129"/>
      <c r="MG14" s="129"/>
      <c r="MH14" s="201" t="s">
        <v>36</v>
      </c>
      <c r="MI14" s="201"/>
      <c r="MJ14" s="201"/>
      <c r="MK14" s="201"/>
      <c r="ML14" s="104"/>
      <c r="MM14" s="104"/>
      <c r="MN14" s="202" t="s">
        <v>26</v>
      </c>
      <c r="MO14" s="202"/>
      <c r="MP14" s="202"/>
      <c r="MQ14" s="202"/>
      <c r="MR14" s="129"/>
      <c r="MS14" s="129"/>
      <c r="MT14" s="201" t="s">
        <v>37</v>
      </c>
      <c r="MU14" s="201"/>
      <c r="MV14" s="201"/>
      <c r="MW14" s="201"/>
      <c r="MX14" s="104"/>
      <c r="MY14" s="104"/>
      <c r="MZ14" s="104"/>
      <c r="NA14" s="105"/>
      <c r="NB14" s="103"/>
      <c r="NC14" s="104"/>
      <c r="ND14" s="104"/>
      <c r="NE14" s="104"/>
      <c r="NF14" s="201" t="s">
        <v>33</v>
      </c>
      <c r="NG14" s="201"/>
      <c r="NH14" s="201"/>
      <c r="NI14" s="201"/>
      <c r="NJ14" s="104"/>
      <c r="NK14" s="104"/>
      <c r="NL14" s="202" t="s">
        <v>23</v>
      </c>
      <c r="NM14" s="202"/>
      <c r="NN14" s="202"/>
      <c r="NO14" s="202"/>
      <c r="NP14" s="129"/>
      <c r="NQ14" s="129"/>
      <c r="NR14" s="201" t="s">
        <v>34</v>
      </c>
      <c r="NS14" s="201"/>
      <c r="NT14" s="201"/>
      <c r="NU14" s="201"/>
      <c r="NV14" s="104"/>
      <c r="NW14" s="104"/>
      <c r="NX14" s="202" t="s">
        <v>24</v>
      </c>
      <c r="NY14" s="202"/>
      <c r="NZ14" s="202"/>
      <c r="OA14" s="202"/>
      <c r="OB14" s="129"/>
      <c r="OC14" s="129"/>
      <c r="OD14" s="201" t="s">
        <v>35</v>
      </c>
      <c r="OE14" s="201"/>
      <c r="OF14" s="201"/>
      <c r="OG14" s="201"/>
      <c r="OH14" s="104"/>
      <c r="OI14" s="104"/>
      <c r="OJ14" s="202" t="s">
        <v>25</v>
      </c>
      <c r="OK14" s="202"/>
      <c r="OL14" s="202"/>
      <c r="OM14" s="202"/>
      <c r="ON14" s="129"/>
      <c r="OO14" s="129"/>
      <c r="OP14" s="201" t="s">
        <v>36</v>
      </c>
      <c r="OQ14" s="201"/>
      <c r="OR14" s="201"/>
      <c r="OS14" s="201"/>
      <c r="OT14" s="104"/>
      <c r="OU14" s="104"/>
      <c r="OV14" s="202" t="s">
        <v>26</v>
      </c>
      <c r="OW14" s="202"/>
      <c r="OX14" s="202"/>
      <c r="OY14" s="202"/>
      <c r="OZ14" s="129"/>
      <c r="PA14" s="129"/>
      <c r="PB14" s="201" t="s">
        <v>37</v>
      </c>
      <c r="PC14" s="201"/>
      <c r="PD14" s="201"/>
      <c r="PE14" s="201"/>
      <c r="PF14" s="104"/>
      <c r="PG14" s="104"/>
      <c r="PH14" s="104"/>
      <c r="PI14" s="105"/>
      <c r="PJ14" s="103"/>
      <c r="PK14" s="104"/>
      <c r="PL14" s="104"/>
      <c r="PM14" s="104"/>
      <c r="PN14" s="201" t="s">
        <v>33</v>
      </c>
      <c r="PO14" s="201"/>
      <c r="PP14" s="201"/>
      <c r="PQ14" s="201"/>
      <c r="PR14" s="104"/>
      <c r="PS14" s="104"/>
      <c r="PT14" s="202" t="s">
        <v>23</v>
      </c>
      <c r="PU14" s="202"/>
      <c r="PV14" s="202"/>
      <c r="PW14" s="202"/>
      <c r="PX14" s="129"/>
      <c r="PY14" s="129"/>
      <c r="PZ14" s="201" t="s">
        <v>34</v>
      </c>
      <c r="QA14" s="201"/>
      <c r="QB14" s="201"/>
      <c r="QC14" s="201"/>
      <c r="QD14" s="104"/>
      <c r="QE14" s="104"/>
      <c r="QF14" s="202" t="s">
        <v>24</v>
      </c>
      <c r="QG14" s="202"/>
      <c r="QH14" s="202"/>
      <c r="QI14" s="202"/>
      <c r="QJ14" s="129"/>
      <c r="QK14" s="129"/>
      <c r="QL14" s="201" t="s">
        <v>35</v>
      </c>
      <c r="QM14" s="201"/>
      <c r="QN14" s="201"/>
      <c r="QO14" s="201"/>
      <c r="QP14" s="104"/>
      <c r="QQ14" s="104"/>
      <c r="QR14" s="202" t="s">
        <v>25</v>
      </c>
      <c r="QS14" s="202"/>
      <c r="QT14" s="202"/>
      <c r="QU14" s="202"/>
      <c r="QV14" s="129"/>
      <c r="QW14" s="129"/>
      <c r="QX14" s="201" t="s">
        <v>36</v>
      </c>
      <c r="QY14" s="201"/>
      <c r="QZ14" s="201"/>
      <c r="RA14" s="201"/>
      <c r="RB14" s="104"/>
      <c r="RC14" s="104"/>
      <c r="RD14" s="202" t="s">
        <v>26</v>
      </c>
      <c r="RE14" s="202"/>
      <c r="RF14" s="202"/>
      <c r="RG14" s="202"/>
      <c r="RH14" s="129"/>
      <c r="RI14" s="129"/>
      <c r="RJ14" s="201" t="s">
        <v>37</v>
      </c>
      <c r="RK14" s="201"/>
      <c r="RL14" s="201"/>
      <c r="RM14" s="201"/>
      <c r="RN14" s="104"/>
      <c r="RO14" s="104"/>
      <c r="RP14" s="104"/>
      <c r="RQ14" s="105"/>
      <c r="RR14" s="103"/>
      <c r="RS14" s="104"/>
      <c r="RT14" s="104"/>
      <c r="RU14" s="104"/>
      <c r="RV14" s="201" t="s">
        <v>33</v>
      </c>
      <c r="RW14" s="201"/>
      <c r="RX14" s="201"/>
      <c r="RY14" s="201"/>
      <c r="RZ14" s="104"/>
      <c r="SA14" s="104"/>
      <c r="SB14" s="202" t="s">
        <v>23</v>
      </c>
      <c r="SC14" s="202"/>
      <c r="SD14" s="202"/>
      <c r="SE14" s="202"/>
      <c r="SF14" s="129"/>
      <c r="SG14" s="129"/>
      <c r="SH14" s="201" t="s">
        <v>34</v>
      </c>
      <c r="SI14" s="201"/>
      <c r="SJ14" s="201"/>
      <c r="SK14" s="201"/>
      <c r="SL14" s="104"/>
      <c r="SM14" s="104"/>
      <c r="SN14" s="202" t="s">
        <v>24</v>
      </c>
      <c r="SO14" s="202"/>
      <c r="SP14" s="202"/>
      <c r="SQ14" s="202"/>
      <c r="SR14" s="129"/>
      <c r="SS14" s="129"/>
      <c r="ST14" s="201" t="s">
        <v>35</v>
      </c>
      <c r="SU14" s="201"/>
      <c r="SV14" s="201"/>
      <c r="SW14" s="201"/>
      <c r="SX14" s="104"/>
      <c r="SY14" s="104"/>
      <c r="SZ14" s="202" t="s">
        <v>25</v>
      </c>
      <c r="TA14" s="202"/>
      <c r="TB14" s="202"/>
      <c r="TC14" s="202"/>
      <c r="TD14" s="129"/>
      <c r="TE14" s="129"/>
      <c r="TF14" s="201" t="s">
        <v>36</v>
      </c>
      <c r="TG14" s="201"/>
      <c r="TH14" s="201"/>
      <c r="TI14" s="201"/>
      <c r="TJ14" s="104"/>
      <c r="TK14" s="104"/>
      <c r="TL14" s="202" t="s">
        <v>26</v>
      </c>
      <c r="TM14" s="202"/>
      <c r="TN14" s="202"/>
      <c r="TO14" s="202"/>
      <c r="TP14" s="129"/>
      <c r="TQ14" s="129"/>
      <c r="TR14" s="201" t="s">
        <v>37</v>
      </c>
      <c r="TS14" s="201"/>
      <c r="TT14" s="201"/>
      <c r="TU14" s="201"/>
      <c r="TV14" s="104"/>
      <c r="TW14" s="104"/>
      <c r="TX14" s="104"/>
      <c r="TY14" s="105"/>
      <c r="TZ14" s="103"/>
      <c r="UA14" s="104"/>
      <c r="UB14" s="104"/>
      <c r="UC14" s="104"/>
      <c r="UD14" s="201" t="s">
        <v>33</v>
      </c>
      <c r="UE14" s="201"/>
      <c r="UF14" s="201"/>
      <c r="UG14" s="201"/>
      <c r="UH14" s="104"/>
      <c r="UI14" s="104"/>
      <c r="UJ14" s="202" t="s">
        <v>23</v>
      </c>
      <c r="UK14" s="202"/>
      <c r="UL14" s="202"/>
      <c r="UM14" s="202"/>
      <c r="UN14" s="129"/>
      <c r="UO14" s="129"/>
      <c r="UP14" s="201" t="s">
        <v>34</v>
      </c>
      <c r="UQ14" s="201"/>
      <c r="UR14" s="201"/>
      <c r="US14" s="201"/>
      <c r="UT14" s="104"/>
      <c r="UU14" s="104"/>
      <c r="UV14" s="202" t="s">
        <v>24</v>
      </c>
      <c r="UW14" s="202"/>
      <c r="UX14" s="202"/>
      <c r="UY14" s="202"/>
      <c r="UZ14" s="129"/>
      <c r="VA14" s="129"/>
      <c r="VB14" s="201" t="s">
        <v>35</v>
      </c>
      <c r="VC14" s="201"/>
      <c r="VD14" s="201"/>
      <c r="VE14" s="201"/>
      <c r="VF14" s="104"/>
      <c r="VG14" s="104"/>
      <c r="VH14" s="202" t="s">
        <v>25</v>
      </c>
      <c r="VI14" s="202"/>
      <c r="VJ14" s="202"/>
      <c r="VK14" s="202"/>
      <c r="VL14" s="129"/>
      <c r="VM14" s="129"/>
      <c r="VN14" s="201" t="s">
        <v>36</v>
      </c>
      <c r="VO14" s="201"/>
      <c r="VP14" s="201"/>
      <c r="VQ14" s="201"/>
      <c r="VR14" s="104"/>
      <c r="VS14" s="104"/>
      <c r="VT14" s="202" t="s">
        <v>26</v>
      </c>
      <c r="VU14" s="202"/>
      <c r="VV14" s="202"/>
      <c r="VW14" s="202"/>
      <c r="VX14" s="129"/>
      <c r="VY14" s="129"/>
      <c r="VZ14" s="201" t="s">
        <v>37</v>
      </c>
      <c r="WA14" s="201"/>
      <c r="WB14" s="201"/>
      <c r="WC14" s="201"/>
      <c r="WD14" s="104"/>
      <c r="WE14" s="104"/>
      <c r="WF14" s="104"/>
      <c r="WG14" s="105"/>
      <c r="WH14" s="103"/>
      <c r="WI14" s="104"/>
      <c r="WJ14" s="104"/>
      <c r="WK14" s="104"/>
      <c r="WL14" s="201" t="s">
        <v>33</v>
      </c>
      <c r="WM14" s="201"/>
      <c r="WN14" s="201"/>
      <c r="WO14" s="201"/>
      <c r="WP14" s="104"/>
      <c r="WQ14" s="104"/>
      <c r="WR14" s="202" t="s">
        <v>23</v>
      </c>
      <c r="WS14" s="202"/>
      <c r="WT14" s="202"/>
      <c r="WU14" s="202"/>
      <c r="WV14" s="129"/>
      <c r="WW14" s="129"/>
      <c r="WX14" s="201" t="s">
        <v>34</v>
      </c>
      <c r="WY14" s="201"/>
      <c r="WZ14" s="201"/>
      <c r="XA14" s="201"/>
      <c r="XB14" s="104"/>
      <c r="XC14" s="104"/>
      <c r="XD14" s="202" t="s">
        <v>24</v>
      </c>
      <c r="XE14" s="202"/>
      <c r="XF14" s="202"/>
      <c r="XG14" s="202"/>
      <c r="XH14" s="129"/>
      <c r="XI14" s="129"/>
      <c r="XJ14" s="201" t="s">
        <v>35</v>
      </c>
      <c r="XK14" s="201"/>
      <c r="XL14" s="201"/>
      <c r="XM14" s="201"/>
      <c r="XN14" s="104"/>
      <c r="XO14" s="104"/>
      <c r="XP14" s="202" t="s">
        <v>25</v>
      </c>
      <c r="XQ14" s="202"/>
      <c r="XR14" s="202"/>
      <c r="XS14" s="202"/>
      <c r="XT14" s="129"/>
      <c r="XU14" s="129"/>
      <c r="XV14" s="201" t="s">
        <v>36</v>
      </c>
      <c r="XW14" s="201"/>
      <c r="XX14" s="201"/>
      <c r="XY14" s="201"/>
      <c r="XZ14" s="104"/>
      <c r="YA14" s="104"/>
      <c r="YB14" s="202" t="s">
        <v>26</v>
      </c>
      <c r="YC14" s="202"/>
      <c r="YD14" s="202"/>
      <c r="YE14" s="202"/>
      <c r="YF14" s="129"/>
      <c r="YG14" s="129"/>
      <c r="YH14" s="201" t="s">
        <v>37</v>
      </c>
      <c r="YI14" s="201"/>
      <c r="YJ14" s="201"/>
      <c r="YK14" s="201"/>
      <c r="YL14" s="104"/>
      <c r="YM14" s="104"/>
      <c r="YN14" s="104"/>
      <c r="YO14" s="105"/>
      <c r="YP14" s="103"/>
      <c r="YQ14" s="104"/>
      <c r="YR14" s="104"/>
      <c r="YS14" s="104"/>
      <c r="YT14" s="201" t="s">
        <v>33</v>
      </c>
      <c r="YU14" s="201"/>
      <c r="YV14" s="201"/>
      <c r="YW14" s="201"/>
      <c r="YX14" s="104"/>
      <c r="YY14" s="104"/>
      <c r="YZ14" s="202" t="s">
        <v>23</v>
      </c>
      <c r="ZA14" s="202"/>
      <c r="ZB14" s="202"/>
      <c r="ZC14" s="202"/>
      <c r="ZD14" s="129"/>
      <c r="ZE14" s="129"/>
      <c r="ZF14" s="201" t="s">
        <v>34</v>
      </c>
      <c r="ZG14" s="201"/>
      <c r="ZH14" s="201"/>
      <c r="ZI14" s="201"/>
      <c r="ZJ14" s="104"/>
      <c r="ZK14" s="104"/>
      <c r="ZL14" s="202" t="s">
        <v>24</v>
      </c>
      <c r="ZM14" s="202"/>
      <c r="ZN14" s="202"/>
      <c r="ZO14" s="202"/>
      <c r="ZP14" s="129"/>
      <c r="ZQ14" s="129"/>
      <c r="ZR14" s="201" t="s">
        <v>35</v>
      </c>
      <c r="ZS14" s="201"/>
      <c r="ZT14" s="201"/>
      <c r="ZU14" s="201"/>
      <c r="ZV14" s="104"/>
      <c r="ZW14" s="104"/>
      <c r="ZX14" s="202" t="s">
        <v>25</v>
      </c>
      <c r="ZY14" s="202"/>
      <c r="ZZ14" s="202"/>
      <c r="AAA14" s="202"/>
      <c r="AAB14" s="129"/>
      <c r="AAC14" s="129"/>
      <c r="AAD14" s="201" t="s">
        <v>36</v>
      </c>
      <c r="AAE14" s="201"/>
      <c r="AAF14" s="201"/>
      <c r="AAG14" s="201"/>
      <c r="AAH14" s="104"/>
      <c r="AAI14" s="104"/>
      <c r="AAJ14" s="202" t="s">
        <v>26</v>
      </c>
      <c r="AAK14" s="202"/>
      <c r="AAL14" s="202"/>
      <c r="AAM14" s="202"/>
      <c r="AAN14" s="129"/>
      <c r="AAO14" s="129"/>
      <c r="AAP14" s="201" t="s">
        <v>37</v>
      </c>
      <c r="AAQ14" s="201"/>
      <c r="AAR14" s="201"/>
      <c r="AAS14" s="201"/>
      <c r="AAT14" s="104"/>
      <c r="AAU14" s="104"/>
      <c r="AAV14" s="104"/>
      <c r="AAW14" s="105"/>
      <c r="AAX14" s="103"/>
      <c r="AAY14" s="104"/>
      <c r="AAZ14" s="104"/>
      <c r="ABA14" s="104"/>
      <c r="ABB14" s="201" t="s">
        <v>33</v>
      </c>
      <c r="ABC14" s="201"/>
      <c r="ABD14" s="201"/>
      <c r="ABE14" s="201"/>
      <c r="ABF14" s="104"/>
      <c r="ABG14" s="104"/>
      <c r="ABH14" s="202" t="s">
        <v>23</v>
      </c>
      <c r="ABI14" s="202"/>
      <c r="ABJ14" s="202"/>
      <c r="ABK14" s="202"/>
      <c r="ABL14" s="129"/>
      <c r="ABM14" s="129"/>
      <c r="ABN14" s="201" t="s">
        <v>34</v>
      </c>
      <c r="ABO14" s="201"/>
      <c r="ABP14" s="201"/>
      <c r="ABQ14" s="201"/>
      <c r="ABR14" s="104"/>
      <c r="ABS14" s="104"/>
      <c r="ABT14" s="202" t="s">
        <v>24</v>
      </c>
      <c r="ABU14" s="202"/>
      <c r="ABV14" s="202"/>
      <c r="ABW14" s="202"/>
      <c r="ABX14" s="129"/>
      <c r="ABY14" s="129"/>
      <c r="ABZ14" s="201" t="s">
        <v>35</v>
      </c>
      <c r="ACA14" s="201"/>
      <c r="ACB14" s="201"/>
      <c r="ACC14" s="201"/>
      <c r="ACD14" s="104"/>
      <c r="ACE14" s="104"/>
      <c r="ACF14" s="202" t="s">
        <v>25</v>
      </c>
      <c r="ACG14" s="202"/>
      <c r="ACH14" s="202"/>
      <c r="ACI14" s="202"/>
      <c r="ACJ14" s="129"/>
      <c r="ACK14" s="129"/>
      <c r="ACL14" s="201" t="s">
        <v>36</v>
      </c>
      <c r="ACM14" s="201"/>
      <c r="ACN14" s="201"/>
      <c r="ACO14" s="201"/>
      <c r="ACP14" s="104"/>
      <c r="ACQ14" s="104"/>
      <c r="ACR14" s="202" t="s">
        <v>26</v>
      </c>
      <c r="ACS14" s="202"/>
      <c r="ACT14" s="202"/>
      <c r="ACU14" s="202"/>
      <c r="ACV14" s="129"/>
      <c r="ACW14" s="129"/>
      <c r="ACX14" s="201" t="s">
        <v>37</v>
      </c>
      <c r="ACY14" s="201"/>
      <c r="ACZ14" s="201"/>
      <c r="ADA14" s="201"/>
      <c r="ADB14" s="104"/>
      <c r="ADC14" s="104"/>
      <c r="ADD14" s="104"/>
      <c r="ADE14" s="105"/>
      <c r="ADF14" s="103"/>
      <c r="ADG14" s="104"/>
      <c r="ADH14" s="104"/>
      <c r="ADI14" s="104"/>
      <c r="ADJ14" s="201" t="s">
        <v>33</v>
      </c>
      <c r="ADK14" s="201"/>
      <c r="ADL14" s="201"/>
      <c r="ADM14" s="201"/>
      <c r="ADN14" s="104"/>
      <c r="ADO14" s="104"/>
      <c r="ADP14" s="202" t="s">
        <v>23</v>
      </c>
      <c r="ADQ14" s="202"/>
      <c r="ADR14" s="202"/>
      <c r="ADS14" s="202"/>
      <c r="ADT14" s="129"/>
      <c r="ADU14" s="129"/>
      <c r="ADV14" s="201" t="s">
        <v>34</v>
      </c>
      <c r="ADW14" s="201"/>
      <c r="ADX14" s="201"/>
      <c r="ADY14" s="201"/>
      <c r="ADZ14" s="104"/>
      <c r="AEA14" s="104"/>
      <c r="AEB14" s="202" t="s">
        <v>24</v>
      </c>
      <c r="AEC14" s="202"/>
      <c r="AED14" s="202"/>
      <c r="AEE14" s="202"/>
      <c r="AEF14" s="129"/>
      <c r="AEG14" s="129"/>
      <c r="AEH14" s="201" t="s">
        <v>35</v>
      </c>
      <c r="AEI14" s="201"/>
      <c r="AEJ14" s="201"/>
      <c r="AEK14" s="201"/>
      <c r="AEL14" s="104"/>
      <c r="AEM14" s="104"/>
      <c r="AEN14" s="202" t="s">
        <v>25</v>
      </c>
      <c r="AEO14" s="202"/>
      <c r="AEP14" s="202"/>
      <c r="AEQ14" s="202"/>
      <c r="AER14" s="129"/>
      <c r="AES14" s="129"/>
      <c r="AET14" s="201" t="s">
        <v>36</v>
      </c>
      <c r="AEU14" s="201"/>
      <c r="AEV14" s="201"/>
      <c r="AEW14" s="201"/>
      <c r="AEX14" s="104"/>
      <c r="AEY14" s="104"/>
      <c r="AEZ14" s="202" t="s">
        <v>26</v>
      </c>
      <c r="AFA14" s="202"/>
      <c r="AFB14" s="202"/>
      <c r="AFC14" s="202"/>
      <c r="AFD14" s="129"/>
      <c r="AFE14" s="129"/>
      <c r="AFF14" s="201" t="s">
        <v>37</v>
      </c>
      <c r="AFG14" s="201"/>
      <c r="AFH14" s="201"/>
      <c r="AFI14" s="201"/>
      <c r="AFJ14" s="104"/>
      <c r="AFK14" s="104"/>
      <c r="AFL14" s="104"/>
      <c r="AFM14" s="105"/>
      <c r="AFN14" s="103"/>
      <c r="AFO14" s="104"/>
      <c r="AFP14" s="104"/>
      <c r="AFQ14" s="104"/>
      <c r="AFR14" s="201" t="s">
        <v>33</v>
      </c>
      <c r="AFS14" s="201"/>
      <c r="AFT14" s="201"/>
      <c r="AFU14" s="201"/>
      <c r="AFV14" s="104"/>
      <c r="AFW14" s="104"/>
      <c r="AFX14" s="202" t="s">
        <v>23</v>
      </c>
      <c r="AFY14" s="202"/>
      <c r="AFZ14" s="202"/>
      <c r="AGA14" s="202"/>
      <c r="AGB14" s="129"/>
      <c r="AGC14" s="129"/>
      <c r="AGD14" s="201" t="s">
        <v>34</v>
      </c>
      <c r="AGE14" s="201"/>
      <c r="AGF14" s="201"/>
      <c r="AGG14" s="201"/>
      <c r="AGH14" s="104"/>
      <c r="AGI14" s="104"/>
      <c r="AGJ14" s="202" t="s">
        <v>24</v>
      </c>
      <c r="AGK14" s="202"/>
      <c r="AGL14" s="202"/>
      <c r="AGM14" s="202"/>
      <c r="AGN14" s="129"/>
      <c r="AGO14" s="129"/>
      <c r="AGP14" s="201" t="s">
        <v>35</v>
      </c>
      <c r="AGQ14" s="201"/>
      <c r="AGR14" s="201"/>
      <c r="AGS14" s="201"/>
      <c r="AGT14" s="104"/>
      <c r="AGU14" s="104"/>
      <c r="AGV14" s="202" t="s">
        <v>25</v>
      </c>
      <c r="AGW14" s="202"/>
      <c r="AGX14" s="202"/>
      <c r="AGY14" s="202"/>
      <c r="AGZ14" s="129"/>
      <c r="AHA14" s="129"/>
      <c r="AHB14" s="201" t="s">
        <v>36</v>
      </c>
      <c r="AHC14" s="201"/>
      <c r="AHD14" s="201"/>
      <c r="AHE14" s="201"/>
      <c r="AHF14" s="104"/>
      <c r="AHG14" s="104"/>
      <c r="AHH14" s="202" t="s">
        <v>26</v>
      </c>
      <c r="AHI14" s="202"/>
      <c r="AHJ14" s="202"/>
      <c r="AHK14" s="202"/>
      <c r="AHL14" s="129"/>
      <c r="AHM14" s="129"/>
      <c r="AHN14" s="201" t="s">
        <v>37</v>
      </c>
      <c r="AHO14" s="201"/>
      <c r="AHP14" s="201"/>
      <c r="AHQ14" s="201"/>
      <c r="AHR14" s="104"/>
      <c r="AHS14" s="104"/>
      <c r="AHT14" s="104"/>
      <c r="AHU14" s="105"/>
      <c r="AHV14" s="103"/>
      <c r="AHW14" s="104"/>
      <c r="AHX14" s="104"/>
      <c r="AHY14" s="104"/>
      <c r="AHZ14" s="201" t="s">
        <v>33</v>
      </c>
      <c r="AIA14" s="201"/>
      <c r="AIB14" s="201"/>
      <c r="AIC14" s="201"/>
      <c r="AID14" s="104"/>
      <c r="AIE14" s="104"/>
      <c r="AIF14" s="202" t="s">
        <v>23</v>
      </c>
      <c r="AIG14" s="202"/>
      <c r="AIH14" s="202"/>
      <c r="AII14" s="202"/>
      <c r="AIJ14" s="129"/>
      <c r="AIK14" s="129"/>
      <c r="AIL14" s="201" t="s">
        <v>34</v>
      </c>
      <c r="AIM14" s="201"/>
      <c r="AIN14" s="201"/>
      <c r="AIO14" s="201"/>
      <c r="AIP14" s="104"/>
      <c r="AIQ14" s="104"/>
      <c r="AIR14" s="202" t="s">
        <v>24</v>
      </c>
      <c r="AIS14" s="202"/>
      <c r="AIT14" s="202"/>
      <c r="AIU14" s="202"/>
      <c r="AIV14" s="129"/>
      <c r="AIW14" s="129"/>
      <c r="AIX14" s="201" t="s">
        <v>35</v>
      </c>
      <c r="AIY14" s="201"/>
      <c r="AIZ14" s="201"/>
      <c r="AJA14" s="201"/>
      <c r="AJB14" s="104"/>
      <c r="AJC14" s="104"/>
      <c r="AJD14" s="202" t="s">
        <v>25</v>
      </c>
      <c r="AJE14" s="202"/>
      <c r="AJF14" s="202"/>
      <c r="AJG14" s="202"/>
      <c r="AJH14" s="129"/>
      <c r="AJI14" s="129"/>
      <c r="AJJ14" s="201" t="s">
        <v>36</v>
      </c>
      <c r="AJK14" s="201"/>
      <c r="AJL14" s="201"/>
      <c r="AJM14" s="201"/>
      <c r="AJN14" s="104"/>
      <c r="AJO14" s="104"/>
      <c r="AJP14" s="202" t="s">
        <v>26</v>
      </c>
      <c r="AJQ14" s="202"/>
      <c r="AJR14" s="202"/>
      <c r="AJS14" s="202"/>
      <c r="AJT14" s="129"/>
      <c r="AJU14" s="129"/>
      <c r="AJV14" s="201" t="s">
        <v>37</v>
      </c>
      <c r="AJW14" s="201"/>
      <c r="AJX14" s="201"/>
      <c r="AJY14" s="201"/>
      <c r="AJZ14" s="104"/>
      <c r="AKA14" s="104"/>
      <c r="AKB14" s="104"/>
      <c r="AKC14" s="105"/>
      <c r="AKD14" s="103"/>
      <c r="AKE14" s="104"/>
      <c r="AKF14" s="104"/>
      <c r="AKG14" s="104"/>
      <c r="AKH14" s="201" t="s">
        <v>33</v>
      </c>
      <c r="AKI14" s="201"/>
      <c r="AKJ14" s="201"/>
      <c r="AKK14" s="201"/>
      <c r="AKL14" s="104"/>
      <c r="AKM14" s="104"/>
      <c r="AKN14" s="202" t="s">
        <v>23</v>
      </c>
      <c r="AKO14" s="202"/>
      <c r="AKP14" s="202"/>
      <c r="AKQ14" s="202"/>
      <c r="AKR14" s="129"/>
      <c r="AKS14" s="129"/>
      <c r="AKT14" s="201" t="s">
        <v>34</v>
      </c>
      <c r="AKU14" s="201"/>
      <c r="AKV14" s="201"/>
      <c r="AKW14" s="201"/>
      <c r="AKX14" s="104"/>
      <c r="AKY14" s="104"/>
      <c r="AKZ14" s="202" t="s">
        <v>24</v>
      </c>
      <c r="ALA14" s="202"/>
      <c r="ALB14" s="202"/>
      <c r="ALC14" s="202"/>
      <c r="ALD14" s="129"/>
      <c r="ALE14" s="129"/>
      <c r="ALF14" s="201" t="s">
        <v>35</v>
      </c>
      <c r="ALG14" s="201"/>
      <c r="ALH14" s="201"/>
      <c r="ALI14" s="201"/>
      <c r="ALJ14" s="104"/>
      <c r="ALK14" s="104"/>
      <c r="ALL14" s="202" t="s">
        <v>25</v>
      </c>
      <c r="ALM14" s="202"/>
      <c r="ALN14" s="202"/>
      <c r="ALO14" s="202"/>
      <c r="ALP14" s="129"/>
      <c r="ALQ14" s="129"/>
      <c r="ALR14" s="201" t="s">
        <v>36</v>
      </c>
      <c r="ALS14" s="201"/>
      <c r="ALT14" s="201"/>
      <c r="ALU14" s="201"/>
      <c r="ALV14" s="104"/>
      <c r="ALW14" s="104"/>
      <c r="ALX14" s="202" t="s">
        <v>26</v>
      </c>
      <c r="ALY14" s="202"/>
      <c r="ALZ14" s="202"/>
      <c r="AMA14" s="202"/>
      <c r="AMB14" s="129"/>
      <c r="AMC14" s="129"/>
      <c r="AMD14" s="201" t="s">
        <v>37</v>
      </c>
      <c r="AME14" s="201"/>
      <c r="AMF14" s="201"/>
      <c r="AMG14" s="201"/>
      <c r="AMH14" s="104"/>
      <c r="AMI14" s="104"/>
      <c r="AMJ14" s="104"/>
      <c r="AMK14" s="105"/>
      <c r="AML14" s="103"/>
      <c r="AMM14" s="104"/>
      <c r="AMN14" s="104"/>
      <c r="AMO14" s="104"/>
      <c r="AMP14" s="201" t="s">
        <v>33</v>
      </c>
      <c r="AMQ14" s="201"/>
      <c r="AMR14" s="201"/>
      <c r="AMS14" s="201"/>
      <c r="AMT14" s="104"/>
      <c r="AMU14" s="104"/>
      <c r="AMV14" s="202" t="s">
        <v>23</v>
      </c>
      <c r="AMW14" s="202"/>
      <c r="AMX14" s="202"/>
      <c r="AMY14" s="202"/>
      <c r="AMZ14" s="129"/>
      <c r="ANA14" s="129"/>
      <c r="ANB14" s="201" t="s">
        <v>34</v>
      </c>
      <c r="ANC14" s="201"/>
      <c r="AND14" s="201"/>
      <c r="ANE14" s="201"/>
      <c r="ANF14" s="104"/>
      <c r="ANG14" s="104"/>
      <c r="ANH14" s="202" t="s">
        <v>24</v>
      </c>
      <c r="ANI14" s="202"/>
      <c r="ANJ14" s="202"/>
      <c r="ANK14" s="202"/>
      <c r="ANL14" s="129"/>
      <c r="ANM14" s="129"/>
      <c r="ANN14" s="201" t="s">
        <v>35</v>
      </c>
      <c r="ANO14" s="201"/>
      <c r="ANP14" s="201"/>
      <c r="ANQ14" s="201"/>
      <c r="ANR14" s="104"/>
      <c r="ANS14" s="104"/>
      <c r="ANT14" s="202" t="s">
        <v>25</v>
      </c>
      <c r="ANU14" s="202"/>
      <c r="ANV14" s="202"/>
      <c r="ANW14" s="202"/>
      <c r="ANX14" s="129"/>
      <c r="ANY14" s="129"/>
      <c r="ANZ14" s="201" t="s">
        <v>36</v>
      </c>
      <c r="AOA14" s="201"/>
      <c r="AOB14" s="201"/>
      <c r="AOC14" s="201"/>
      <c r="AOD14" s="104"/>
      <c r="AOE14" s="104"/>
      <c r="AOF14" s="202" t="s">
        <v>26</v>
      </c>
      <c r="AOG14" s="202"/>
      <c r="AOH14" s="202"/>
      <c r="AOI14" s="202"/>
      <c r="AOJ14" s="129"/>
      <c r="AOK14" s="129"/>
      <c r="AOL14" s="201" t="s">
        <v>37</v>
      </c>
      <c r="AOM14" s="201"/>
      <c r="AON14" s="201"/>
      <c r="AOO14" s="201"/>
      <c r="AOP14" s="104"/>
      <c r="AOQ14" s="104"/>
      <c r="AOR14" s="104"/>
      <c r="AOS14" s="105"/>
      <c r="AOT14" s="103"/>
      <c r="AOU14" s="104"/>
      <c r="AOV14" s="104"/>
      <c r="AOW14" s="104"/>
      <c r="AOX14" s="201" t="s">
        <v>33</v>
      </c>
      <c r="AOY14" s="201"/>
      <c r="AOZ14" s="201"/>
      <c r="APA14" s="201"/>
      <c r="APB14" s="104"/>
      <c r="APC14" s="104"/>
      <c r="APD14" s="202" t="s">
        <v>23</v>
      </c>
      <c r="APE14" s="202"/>
      <c r="APF14" s="202"/>
      <c r="APG14" s="202"/>
      <c r="APH14" s="129"/>
      <c r="API14" s="129"/>
      <c r="APJ14" s="201" t="s">
        <v>34</v>
      </c>
      <c r="APK14" s="201"/>
      <c r="APL14" s="201"/>
      <c r="APM14" s="201"/>
      <c r="APN14" s="104"/>
      <c r="APO14" s="104"/>
      <c r="APP14" s="202" t="s">
        <v>24</v>
      </c>
      <c r="APQ14" s="202"/>
      <c r="APR14" s="202"/>
      <c r="APS14" s="202"/>
      <c r="APT14" s="129"/>
      <c r="APU14" s="129"/>
      <c r="APV14" s="201" t="s">
        <v>35</v>
      </c>
      <c r="APW14" s="201"/>
      <c r="APX14" s="201"/>
      <c r="APY14" s="201"/>
      <c r="APZ14" s="104"/>
      <c r="AQA14" s="104"/>
      <c r="AQB14" s="202" t="s">
        <v>25</v>
      </c>
      <c r="AQC14" s="202"/>
      <c r="AQD14" s="202"/>
      <c r="AQE14" s="202"/>
      <c r="AQF14" s="129"/>
      <c r="AQG14" s="129"/>
      <c r="AQH14" s="201" t="s">
        <v>36</v>
      </c>
      <c r="AQI14" s="201"/>
      <c r="AQJ14" s="201"/>
      <c r="AQK14" s="201"/>
      <c r="AQL14" s="104"/>
      <c r="AQM14" s="104"/>
      <c r="AQN14" s="202" t="s">
        <v>26</v>
      </c>
      <c r="AQO14" s="202"/>
      <c r="AQP14" s="202"/>
      <c r="AQQ14" s="202"/>
      <c r="AQR14" s="129"/>
      <c r="AQS14" s="129"/>
      <c r="AQT14" s="201" t="s">
        <v>37</v>
      </c>
      <c r="AQU14" s="201"/>
      <c r="AQV14" s="201"/>
      <c r="AQW14" s="201"/>
      <c r="AQX14" s="104"/>
      <c r="AQY14" s="104"/>
      <c r="AQZ14" s="104"/>
      <c r="ARA14" s="105"/>
      <c r="ARB14" s="103"/>
      <c r="ARC14" s="104"/>
      <c r="ARD14" s="104"/>
      <c r="ARE14" s="104"/>
      <c r="ARF14" s="201" t="s">
        <v>33</v>
      </c>
      <c r="ARG14" s="201"/>
      <c r="ARH14" s="201"/>
      <c r="ARI14" s="201"/>
      <c r="ARJ14" s="104"/>
      <c r="ARK14" s="104"/>
      <c r="ARL14" s="202" t="s">
        <v>23</v>
      </c>
      <c r="ARM14" s="202"/>
      <c r="ARN14" s="202"/>
      <c r="ARO14" s="202"/>
      <c r="ARP14" s="129"/>
      <c r="ARQ14" s="129"/>
      <c r="ARR14" s="201" t="s">
        <v>34</v>
      </c>
      <c r="ARS14" s="201"/>
      <c r="ART14" s="201"/>
      <c r="ARU14" s="201"/>
      <c r="ARV14" s="104"/>
      <c r="ARW14" s="104"/>
      <c r="ARX14" s="202" t="s">
        <v>24</v>
      </c>
      <c r="ARY14" s="202"/>
      <c r="ARZ14" s="202"/>
      <c r="ASA14" s="202"/>
      <c r="ASB14" s="129"/>
      <c r="ASC14" s="129"/>
      <c r="ASD14" s="201" t="s">
        <v>35</v>
      </c>
      <c r="ASE14" s="201"/>
      <c r="ASF14" s="201"/>
      <c r="ASG14" s="201"/>
      <c r="ASH14" s="104"/>
      <c r="ASI14" s="104"/>
      <c r="ASJ14" s="202" t="s">
        <v>25</v>
      </c>
      <c r="ASK14" s="202"/>
      <c r="ASL14" s="202"/>
      <c r="ASM14" s="202"/>
      <c r="ASN14" s="129"/>
      <c r="ASO14" s="129"/>
      <c r="ASP14" s="201" t="s">
        <v>36</v>
      </c>
      <c r="ASQ14" s="201"/>
      <c r="ASR14" s="201"/>
      <c r="ASS14" s="201"/>
      <c r="AST14" s="104"/>
      <c r="ASU14" s="104"/>
      <c r="ASV14" s="202" t="s">
        <v>26</v>
      </c>
      <c r="ASW14" s="202"/>
      <c r="ASX14" s="202"/>
      <c r="ASY14" s="202"/>
      <c r="ASZ14" s="129"/>
      <c r="ATA14" s="129"/>
      <c r="ATB14" s="201" t="s">
        <v>37</v>
      </c>
      <c r="ATC14" s="201"/>
      <c r="ATD14" s="201"/>
      <c r="ATE14" s="201"/>
      <c r="ATF14" s="104"/>
      <c r="ATG14" s="104"/>
      <c r="ATH14" s="104"/>
      <c r="ATI14" s="105"/>
      <c r="ATJ14" s="103"/>
      <c r="ATK14" s="104"/>
      <c r="ATL14" s="104"/>
      <c r="ATM14" s="104"/>
      <c r="ATN14" s="201" t="s">
        <v>33</v>
      </c>
      <c r="ATO14" s="201"/>
      <c r="ATP14" s="201"/>
      <c r="ATQ14" s="201"/>
      <c r="ATR14" s="104"/>
      <c r="ATS14" s="104"/>
      <c r="ATT14" s="202" t="s">
        <v>23</v>
      </c>
      <c r="ATU14" s="202"/>
      <c r="ATV14" s="202"/>
      <c r="ATW14" s="202"/>
      <c r="ATX14" s="129"/>
      <c r="ATY14" s="129"/>
      <c r="ATZ14" s="201" t="s">
        <v>34</v>
      </c>
      <c r="AUA14" s="201"/>
      <c r="AUB14" s="201"/>
      <c r="AUC14" s="201"/>
      <c r="AUD14" s="104"/>
      <c r="AUE14" s="104"/>
      <c r="AUF14" s="202" t="s">
        <v>24</v>
      </c>
      <c r="AUG14" s="202"/>
      <c r="AUH14" s="202"/>
      <c r="AUI14" s="202"/>
      <c r="AUJ14" s="129"/>
      <c r="AUK14" s="129"/>
      <c r="AUL14" s="201" t="s">
        <v>35</v>
      </c>
      <c r="AUM14" s="201"/>
      <c r="AUN14" s="201"/>
      <c r="AUO14" s="201"/>
      <c r="AUP14" s="104"/>
      <c r="AUQ14" s="104"/>
      <c r="AUR14" s="202" t="s">
        <v>25</v>
      </c>
      <c r="AUS14" s="202"/>
      <c r="AUT14" s="202"/>
      <c r="AUU14" s="202"/>
      <c r="AUV14" s="129"/>
      <c r="AUW14" s="129"/>
      <c r="AUX14" s="201" t="s">
        <v>36</v>
      </c>
      <c r="AUY14" s="201"/>
      <c r="AUZ14" s="201"/>
      <c r="AVA14" s="201"/>
      <c r="AVB14" s="104"/>
      <c r="AVC14" s="104"/>
      <c r="AVD14" s="202" t="s">
        <v>26</v>
      </c>
      <c r="AVE14" s="202"/>
      <c r="AVF14" s="202"/>
      <c r="AVG14" s="202"/>
      <c r="AVH14" s="129"/>
      <c r="AVI14" s="129"/>
      <c r="AVJ14" s="201" t="s">
        <v>37</v>
      </c>
      <c r="AVK14" s="201"/>
      <c r="AVL14" s="201"/>
      <c r="AVM14" s="201"/>
      <c r="AVN14" s="104"/>
      <c r="AVO14" s="104"/>
      <c r="AVP14" s="104"/>
      <c r="AVQ14" s="105"/>
      <c r="AVR14" s="103"/>
      <c r="AVS14" s="104"/>
      <c r="AVT14" s="104"/>
      <c r="AVU14" s="104"/>
      <c r="AVV14" s="201" t="s">
        <v>33</v>
      </c>
      <c r="AVW14" s="201"/>
      <c r="AVX14" s="201"/>
      <c r="AVY14" s="201"/>
      <c r="AVZ14" s="104"/>
      <c r="AWA14" s="104"/>
      <c r="AWB14" s="202" t="s">
        <v>23</v>
      </c>
      <c r="AWC14" s="202"/>
      <c r="AWD14" s="202"/>
      <c r="AWE14" s="202"/>
      <c r="AWF14" s="129"/>
      <c r="AWG14" s="129"/>
      <c r="AWH14" s="201" t="s">
        <v>34</v>
      </c>
      <c r="AWI14" s="201"/>
      <c r="AWJ14" s="201"/>
      <c r="AWK14" s="201"/>
      <c r="AWL14" s="104"/>
      <c r="AWM14" s="104"/>
      <c r="AWN14" s="202" t="s">
        <v>24</v>
      </c>
      <c r="AWO14" s="202"/>
      <c r="AWP14" s="202"/>
      <c r="AWQ14" s="202"/>
      <c r="AWR14" s="129"/>
      <c r="AWS14" s="129"/>
      <c r="AWT14" s="201" t="s">
        <v>35</v>
      </c>
      <c r="AWU14" s="201"/>
      <c r="AWV14" s="201"/>
      <c r="AWW14" s="201"/>
      <c r="AWX14" s="104"/>
      <c r="AWY14" s="104"/>
      <c r="AWZ14" s="202" t="s">
        <v>25</v>
      </c>
      <c r="AXA14" s="202"/>
      <c r="AXB14" s="202"/>
      <c r="AXC14" s="202"/>
      <c r="AXD14" s="129"/>
      <c r="AXE14" s="129"/>
      <c r="AXF14" s="201" t="s">
        <v>36</v>
      </c>
      <c r="AXG14" s="201"/>
      <c r="AXH14" s="201"/>
      <c r="AXI14" s="201"/>
      <c r="AXJ14" s="104"/>
      <c r="AXK14" s="104"/>
      <c r="AXL14" s="202" t="s">
        <v>26</v>
      </c>
      <c r="AXM14" s="202"/>
      <c r="AXN14" s="202"/>
      <c r="AXO14" s="202"/>
      <c r="AXP14" s="129"/>
      <c r="AXQ14" s="129"/>
      <c r="AXR14" s="201" t="s">
        <v>37</v>
      </c>
      <c r="AXS14" s="201"/>
      <c r="AXT14" s="201"/>
      <c r="AXU14" s="201"/>
      <c r="AXV14" s="104"/>
      <c r="AXW14" s="104"/>
      <c r="AXX14" s="104"/>
      <c r="AXY14" s="105"/>
      <c r="AXZ14" s="103"/>
      <c r="AYA14" s="104"/>
      <c r="AYB14" s="104"/>
      <c r="AYC14" s="104"/>
      <c r="AYD14" s="201" t="s">
        <v>33</v>
      </c>
      <c r="AYE14" s="201"/>
      <c r="AYF14" s="201"/>
      <c r="AYG14" s="201"/>
      <c r="AYH14" s="104"/>
      <c r="AYI14" s="104"/>
      <c r="AYJ14" s="202" t="s">
        <v>23</v>
      </c>
      <c r="AYK14" s="202"/>
      <c r="AYL14" s="202"/>
      <c r="AYM14" s="202"/>
      <c r="AYN14" s="129"/>
      <c r="AYO14" s="129"/>
      <c r="AYP14" s="201" t="s">
        <v>34</v>
      </c>
      <c r="AYQ14" s="201"/>
      <c r="AYR14" s="201"/>
      <c r="AYS14" s="201"/>
      <c r="AYT14" s="104"/>
      <c r="AYU14" s="104"/>
      <c r="AYV14" s="202" t="s">
        <v>24</v>
      </c>
      <c r="AYW14" s="202"/>
      <c r="AYX14" s="202"/>
      <c r="AYY14" s="202"/>
      <c r="AYZ14" s="129"/>
      <c r="AZA14" s="129"/>
      <c r="AZB14" s="201" t="s">
        <v>35</v>
      </c>
      <c r="AZC14" s="201"/>
      <c r="AZD14" s="201"/>
      <c r="AZE14" s="201"/>
      <c r="AZF14" s="104"/>
      <c r="AZG14" s="104"/>
      <c r="AZH14" s="202" t="s">
        <v>25</v>
      </c>
      <c r="AZI14" s="202"/>
      <c r="AZJ14" s="202"/>
      <c r="AZK14" s="202"/>
      <c r="AZL14" s="129"/>
      <c r="AZM14" s="129"/>
      <c r="AZN14" s="201" t="s">
        <v>36</v>
      </c>
      <c r="AZO14" s="201"/>
      <c r="AZP14" s="201"/>
      <c r="AZQ14" s="201"/>
      <c r="AZR14" s="104"/>
      <c r="AZS14" s="104"/>
      <c r="AZT14" s="202" t="s">
        <v>26</v>
      </c>
      <c r="AZU14" s="202"/>
      <c r="AZV14" s="202"/>
      <c r="AZW14" s="202"/>
      <c r="AZX14" s="129"/>
      <c r="AZY14" s="129"/>
      <c r="AZZ14" s="201" t="s">
        <v>37</v>
      </c>
      <c r="BAA14" s="201"/>
      <c r="BAB14" s="201"/>
      <c r="BAC14" s="201"/>
      <c r="BAD14" s="104"/>
      <c r="BAE14" s="104"/>
      <c r="BAF14" s="104"/>
      <c r="BAG14" s="105"/>
      <c r="BAH14" s="103"/>
      <c r="BAI14" s="104"/>
      <c r="BAJ14" s="104"/>
      <c r="BAK14" s="104"/>
      <c r="BAL14" s="201" t="s">
        <v>33</v>
      </c>
      <c r="BAM14" s="201"/>
      <c r="BAN14" s="201"/>
      <c r="BAO14" s="201"/>
      <c r="BAP14" s="104"/>
      <c r="BAQ14" s="104"/>
      <c r="BAR14" s="202" t="s">
        <v>23</v>
      </c>
      <c r="BAS14" s="202"/>
      <c r="BAT14" s="202"/>
      <c r="BAU14" s="202"/>
      <c r="BAV14" s="129"/>
      <c r="BAW14" s="129"/>
      <c r="BAX14" s="201" t="s">
        <v>34</v>
      </c>
      <c r="BAY14" s="201"/>
      <c r="BAZ14" s="201"/>
      <c r="BBA14" s="201"/>
      <c r="BBB14" s="104"/>
      <c r="BBC14" s="104"/>
      <c r="BBD14" s="202" t="s">
        <v>24</v>
      </c>
      <c r="BBE14" s="202"/>
      <c r="BBF14" s="202"/>
      <c r="BBG14" s="202"/>
      <c r="BBH14" s="129"/>
      <c r="BBI14" s="129"/>
      <c r="BBJ14" s="201" t="s">
        <v>35</v>
      </c>
      <c r="BBK14" s="201"/>
      <c r="BBL14" s="201"/>
      <c r="BBM14" s="201"/>
      <c r="BBN14" s="104"/>
      <c r="BBO14" s="104"/>
      <c r="BBP14" s="202" t="s">
        <v>25</v>
      </c>
      <c r="BBQ14" s="202"/>
      <c r="BBR14" s="202"/>
      <c r="BBS14" s="202"/>
      <c r="BBT14" s="129"/>
      <c r="BBU14" s="129"/>
      <c r="BBV14" s="201" t="s">
        <v>36</v>
      </c>
      <c r="BBW14" s="201"/>
      <c r="BBX14" s="201"/>
      <c r="BBY14" s="201"/>
      <c r="BBZ14" s="104"/>
      <c r="BCA14" s="104"/>
      <c r="BCB14" s="202" t="s">
        <v>26</v>
      </c>
      <c r="BCC14" s="202"/>
      <c r="BCD14" s="202"/>
      <c r="BCE14" s="202"/>
      <c r="BCF14" s="129"/>
      <c r="BCG14" s="129"/>
      <c r="BCH14" s="201" t="s">
        <v>37</v>
      </c>
      <c r="BCI14" s="201"/>
      <c r="BCJ14" s="201"/>
      <c r="BCK14" s="201"/>
      <c r="BCL14" s="104"/>
      <c r="BCM14" s="104"/>
      <c r="BCN14" s="104"/>
      <c r="BCO14" s="105"/>
      <c r="BCP14" s="103"/>
      <c r="BCQ14" s="104"/>
      <c r="BCR14" s="104"/>
      <c r="BCS14" s="104"/>
      <c r="BCT14" s="201" t="s">
        <v>33</v>
      </c>
      <c r="BCU14" s="201"/>
      <c r="BCV14" s="201"/>
      <c r="BCW14" s="201"/>
      <c r="BCX14" s="104"/>
      <c r="BCY14" s="104"/>
      <c r="BCZ14" s="202" t="s">
        <v>23</v>
      </c>
      <c r="BDA14" s="202"/>
      <c r="BDB14" s="202"/>
      <c r="BDC14" s="202"/>
      <c r="BDD14" s="129"/>
      <c r="BDE14" s="129"/>
      <c r="BDF14" s="201" t="s">
        <v>34</v>
      </c>
      <c r="BDG14" s="201"/>
      <c r="BDH14" s="201"/>
      <c r="BDI14" s="201"/>
      <c r="BDJ14" s="104"/>
      <c r="BDK14" s="104"/>
      <c r="BDL14" s="202" t="s">
        <v>24</v>
      </c>
      <c r="BDM14" s="202"/>
      <c r="BDN14" s="202"/>
      <c r="BDO14" s="202"/>
      <c r="BDP14" s="129"/>
      <c r="BDQ14" s="129"/>
      <c r="BDR14" s="201" t="s">
        <v>35</v>
      </c>
      <c r="BDS14" s="201"/>
      <c r="BDT14" s="201"/>
      <c r="BDU14" s="201"/>
      <c r="BDV14" s="104"/>
      <c r="BDW14" s="104"/>
      <c r="BDX14" s="202" t="s">
        <v>25</v>
      </c>
      <c r="BDY14" s="202"/>
      <c r="BDZ14" s="202"/>
      <c r="BEA14" s="202"/>
      <c r="BEB14" s="129"/>
      <c r="BEC14" s="129"/>
      <c r="BED14" s="201" t="s">
        <v>36</v>
      </c>
      <c r="BEE14" s="201"/>
      <c r="BEF14" s="201"/>
      <c r="BEG14" s="201"/>
      <c r="BEH14" s="104"/>
      <c r="BEI14" s="104"/>
      <c r="BEJ14" s="202" t="s">
        <v>26</v>
      </c>
      <c r="BEK14" s="202"/>
      <c r="BEL14" s="202"/>
      <c r="BEM14" s="202"/>
      <c r="BEN14" s="129"/>
      <c r="BEO14" s="129"/>
      <c r="BEP14" s="201" t="s">
        <v>37</v>
      </c>
      <c r="BEQ14" s="201"/>
      <c r="BER14" s="201"/>
      <c r="BES14" s="201"/>
      <c r="BET14" s="104"/>
      <c r="BEU14" s="104"/>
      <c r="BEV14" s="104"/>
      <c r="BEW14" s="105"/>
      <c r="BEX14" s="103"/>
      <c r="BEY14" s="104"/>
      <c r="BEZ14" s="104"/>
      <c r="BFA14" s="104"/>
      <c r="BFB14" s="201" t="s">
        <v>33</v>
      </c>
      <c r="BFC14" s="201"/>
      <c r="BFD14" s="201"/>
      <c r="BFE14" s="201"/>
      <c r="BFF14" s="104"/>
      <c r="BFG14" s="104"/>
      <c r="BFH14" s="202" t="s">
        <v>23</v>
      </c>
      <c r="BFI14" s="202"/>
      <c r="BFJ14" s="202"/>
      <c r="BFK14" s="202"/>
      <c r="BFL14" s="129"/>
      <c r="BFM14" s="129"/>
      <c r="BFN14" s="201" t="s">
        <v>34</v>
      </c>
      <c r="BFO14" s="201"/>
      <c r="BFP14" s="201"/>
      <c r="BFQ14" s="201"/>
      <c r="BFR14" s="104"/>
      <c r="BFS14" s="104"/>
      <c r="BFT14" s="202" t="s">
        <v>24</v>
      </c>
      <c r="BFU14" s="202"/>
      <c r="BFV14" s="202"/>
      <c r="BFW14" s="202"/>
      <c r="BFX14" s="129"/>
      <c r="BFY14" s="129"/>
      <c r="BFZ14" s="201" t="s">
        <v>35</v>
      </c>
      <c r="BGA14" s="201"/>
      <c r="BGB14" s="201"/>
      <c r="BGC14" s="201"/>
      <c r="BGD14" s="104"/>
      <c r="BGE14" s="104"/>
      <c r="BGF14" s="202" t="s">
        <v>25</v>
      </c>
      <c r="BGG14" s="202"/>
      <c r="BGH14" s="202"/>
      <c r="BGI14" s="202"/>
      <c r="BGJ14" s="129"/>
      <c r="BGK14" s="129"/>
      <c r="BGL14" s="201" t="s">
        <v>36</v>
      </c>
      <c r="BGM14" s="201"/>
      <c r="BGN14" s="201"/>
      <c r="BGO14" s="201"/>
      <c r="BGP14" s="104"/>
      <c r="BGQ14" s="104"/>
      <c r="BGR14" s="202" t="s">
        <v>26</v>
      </c>
      <c r="BGS14" s="202"/>
      <c r="BGT14" s="202"/>
      <c r="BGU14" s="202"/>
      <c r="BGV14" s="129"/>
      <c r="BGW14" s="129"/>
      <c r="BGX14" s="201" t="s">
        <v>37</v>
      </c>
      <c r="BGY14" s="201"/>
      <c r="BGZ14" s="201"/>
      <c r="BHA14" s="201"/>
      <c r="BHB14" s="104"/>
      <c r="BHC14" s="104"/>
      <c r="BHD14" s="104"/>
      <c r="BHE14" s="105"/>
      <c r="BHF14" s="103"/>
      <c r="BHG14" s="104"/>
      <c r="BHH14" s="104"/>
      <c r="BHI14" s="104"/>
      <c r="BHJ14" s="201" t="s">
        <v>33</v>
      </c>
      <c r="BHK14" s="201"/>
      <c r="BHL14" s="201"/>
      <c r="BHM14" s="201"/>
      <c r="BHN14" s="104"/>
      <c r="BHO14" s="104"/>
      <c r="BHP14" s="202" t="s">
        <v>23</v>
      </c>
      <c r="BHQ14" s="202"/>
      <c r="BHR14" s="202"/>
      <c r="BHS14" s="202"/>
      <c r="BHT14" s="129"/>
      <c r="BHU14" s="129"/>
      <c r="BHV14" s="201" t="s">
        <v>34</v>
      </c>
      <c r="BHW14" s="201"/>
      <c r="BHX14" s="201"/>
      <c r="BHY14" s="201"/>
      <c r="BHZ14" s="104"/>
      <c r="BIA14" s="104"/>
      <c r="BIB14" s="202" t="s">
        <v>24</v>
      </c>
      <c r="BIC14" s="202"/>
      <c r="BID14" s="202"/>
      <c r="BIE14" s="202"/>
      <c r="BIF14" s="129"/>
      <c r="BIG14" s="129"/>
      <c r="BIH14" s="201" t="s">
        <v>35</v>
      </c>
      <c r="BII14" s="201"/>
      <c r="BIJ14" s="201"/>
      <c r="BIK14" s="201"/>
      <c r="BIL14" s="104"/>
      <c r="BIM14" s="104"/>
      <c r="BIN14" s="202" t="s">
        <v>25</v>
      </c>
      <c r="BIO14" s="202"/>
      <c r="BIP14" s="202"/>
      <c r="BIQ14" s="202"/>
      <c r="BIR14" s="129"/>
      <c r="BIS14" s="129"/>
      <c r="BIT14" s="201" t="s">
        <v>36</v>
      </c>
      <c r="BIU14" s="201"/>
      <c r="BIV14" s="201"/>
      <c r="BIW14" s="201"/>
      <c r="BIX14" s="104"/>
      <c r="BIY14" s="104"/>
      <c r="BIZ14" s="202" t="s">
        <v>26</v>
      </c>
      <c r="BJA14" s="202"/>
      <c r="BJB14" s="202"/>
      <c r="BJC14" s="202"/>
      <c r="BJD14" s="129"/>
      <c r="BJE14" s="129"/>
      <c r="BJF14" s="201" t="s">
        <v>37</v>
      </c>
      <c r="BJG14" s="201"/>
      <c r="BJH14" s="201"/>
      <c r="BJI14" s="201"/>
      <c r="BJJ14" s="104"/>
      <c r="BJK14" s="104"/>
      <c r="BJL14" s="104"/>
      <c r="BJM14" s="105"/>
      <c r="BJN14" s="103"/>
      <c r="BJO14" s="104"/>
      <c r="BJP14" s="104"/>
      <c r="BJQ14" s="104"/>
      <c r="BJR14" s="201" t="s">
        <v>33</v>
      </c>
      <c r="BJS14" s="201"/>
      <c r="BJT14" s="201"/>
      <c r="BJU14" s="201"/>
      <c r="BJV14" s="104"/>
      <c r="BJW14" s="104"/>
      <c r="BJX14" s="202" t="s">
        <v>23</v>
      </c>
      <c r="BJY14" s="202"/>
      <c r="BJZ14" s="202"/>
      <c r="BKA14" s="202"/>
      <c r="BKB14" s="129"/>
      <c r="BKC14" s="129"/>
      <c r="BKD14" s="201" t="s">
        <v>34</v>
      </c>
      <c r="BKE14" s="201"/>
      <c r="BKF14" s="201"/>
      <c r="BKG14" s="201"/>
      <c r="BKH14" s="104"/>
      <c r="BKI14" s="104"/>
      <c r="BKJ14" s="202" t="s">
        <v>24</v>
      </c>
      <c r="BKK14" s="202"/>
      <c r="BKL14" s="202"/>
      <c r="BKM14" s="202"/>
      <c r="BKN14" s="129"/>
      <c r="BKO14" s="129"/>
      <c r="BKP14" s="201" t="s">
        <v>35</v>
      </c>
      <c r="BKQ14" s="201"/>
      <c r="BKR14" s="201"/>
      <c r="BKS14" s="201"/>
      <c r="BKT14" s="104"/>
      <c r="BKU14" s="104"/>
      <c r="BKV14" s="202" t="s">
        <v>25</v>
      </c>
      <c r="BKW14" s="202"/>
      <c r="BKX14" s="202"/>
      <c r="BKY14" s="202"/>
      <c r="BKZ14" s="129"/>
      <c r="BLA14" s="129"/>
      <c r="BLB14" s="201" t="s">
        <v>36</v>
      </c>
      <c r="BLC14" s="201"/>
      <c r="BLD14" s="201"/>
      <c r="BLE14" s="201"/>
      <c r="BLF14" s="104"/>
      <c r="BLG14" s="104"/>
      <c r="BLH14" s="202" t="s">
        <v>26</v>
      </c>
      <c r="BLI14" s="202"/>
      <c r="BLJ14" s="202"/>
      <c r="BLK14" s="202"/>
      <c r="BLL14" s="129"/>
      <c r="BLM14" s="129"/>
      <c r="BLN14" s="201" t="s">
        <v>37</v>
      </c>
      <c r="BLO14" s="201"/>
      <c r="BLP14" s="201"/>
      <c r="BLQ14" s="201"/>
      <c r="BLR14" s="104"/>
      <c r="BLS14" s="104"/>
      <c r="BLT14" s="104"/>
      <c r="BLU14" s="105"/>
      <c r="BLV14" s="103"/>
      <c r="BLW14" s="104"/>
      <c r="BLX14" s="104"/>
      <c r="BLY14" s="104"/>
      <c r="BLZ14" s="201" t="s">
        <v>33</v>
      </c>
      <c r="BMA14" s="201"/>
      <c r="BMB14" s="201"/>
      <c r="BMC14" s="201"/>
      <c r="BMD14" s="104"/>
      <c r="BME14" s="104"/>
      <c r="BMF14" s="202" t="s">
        <v>23</v>
      </c>
      <c r="BMG14" s="202"/>
      <c r="BMH14" s="202"/>
      <c r="BMI14" s="202"/>
      <c r="BMJ14" s="129"/>
      <c r="BMK14" s="129"/>
      <c r="BML14" s="201" t="s">
        <v>34</v>
      </c>
      <c r="BMM14" s="201"/>
      <c r="BMN14" s="201"/>
      <c r="BMO14" s="201"/>
      <c r="BMP14" s="104"/>
      <c r="BMQ14" s="104"/>
      <c r="BMR14" s="202" t="s">
        <v>24</v>
      </c>
      <c r="BMS14" s="202"/>
      <c r="BMT14" s="202"/>
      <c r="BMU14" s="202"/>
      <c r="BMV14" s="129"/>
      <c r="BMW14" s="129"/>
      <c r="BMX14" s="201" t="s">
        <v>35</v>
      </c>
      <c r="BMY14" s="201"/>
      <c r="BMZ14" s="201"/>
      <c r="BNA14" s="201"/>
      <c r="BNB14" s="104"/>
      <c r="BNC14" s="104"/>
      <c r="BND14" s="202" t="s">
        <v>25</v>
      </c>
      <c r="BNE14" s="202"/>
      <c r="BNF14" s="202"/>
      <c r="BNG14" s="202"/>
      <c r="BNH14" s="129"/>
      <c r="BNI14" s="129"/>
      <c r="BNJ14" s="201" t="s">
        <v>36</v>
      </c>
      <c r="BNK14" s="201"/>
      <c r="BNL14" s="201"/>
      <c r="BNM14" s="201"/>
      <c r="BNN14" s="104"/>
      <c r="BNO14" s="104"/>
      <c r="BNP14" s="202" t="s">
        <v>26</v>
      </c>
      <c r="BNQ14" s="202"/>
      <c r="BNR14" s="202"/>
      <c r="BNS14" s="202"/>
      <c r="BNT14" s="129"/>
      <c r="BNU14" s="129"/>
      <c r="BNV14" s="201" t="s">
        <v>37</v>
      </c>
      <c r="BNW14" s="201"/>
      <c r="BNX14" s="201"/>
      <c r="BNY14" s="201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1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21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211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212"/>
      <c r="D18" s="148" t="str">
        <f t="shared" si="0"/>
        <v>0h35min</v>
      </c>
      <c r="E18" s="35">
        <v>7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16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16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16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16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211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212"/>
      <c r="D20" s="147" t="str">
        <f t="shared" si="0"/>
        <v>5h</v>
      </c>
      <c r="E20" s="27">
        <v>60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169"/>
      <c r="EG20" s="173"/>
      <c r="EH20" s="169"/>
      <c r="EI20" s="169"/>
      <c r="EJ20" s="169"/>
      <c r="EK20" s="29"/>
      <c r="EL20" s="29"/>
      <c r="EM20" s="75"/>
      <c r="EN20" s="29"/>
      <c r="EO20" s="29"/>
      <c r="EP20" s="29"/>
      <c r="EQ20" s="29"/>
      <c r="ER20" s="29"/>
      <c r="ES20" s="173"/>
      <c r="ET20" s="169"/>
      <c r="EU20" s="169"/>
      <c r="EV20" s="169"/>
      <c r="EW20" s="169"/>
      <c r="EX20" s="169"/>
      <c r="EY20" s="175"/>
      <c r="EZ20" s="172"/>
      <c r="FA20" s="172"/>
      <c r="FB20" s="172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191"/>
      <c r="GE20" s="172"/>
      <c r="GF20" s="172"/>
      <c r="GG20" s="172"/>
      <c r="GH20" s="169"/>
      <c r="GI20" s="192"/>
      <c r="GJ20" s="169"/>
      <c r="GK20" s="16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169"/>
      <c r="IY20" s="169"/>
      <c r="IZ20" s="169"/>
      <c r="JA20" s="169"/>
      <c r="JB20" s="169"/>
      <c r="JC20" s="175"/>
      <c r="JD20" s="169"/>
      <c r="JE20" s="169"/>
      <c r="JF20" s="169"/>
      <c r="JG20" s="16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169"/>
      <c r="MH20" s="167"/>
      <c r="MI20" s="175"/>
      <c r="MJ20" s="169"/>
      <c r="MK20" s="169"/>
      <c r="ML20" s="169"/>
      <c r="MM20" s="169"/>
      <c r="MN20" s="169"/>
      <c r="MO20" s="173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191"/>
      <c r="NC20" s="172"/>
      <c r="ND20" s="172"/>
      <c r="NE20" s="172"/>
      <c r="NF20" s="169"/>
      <c r="NG20" s="192"/>
      <c r="NH20" s="169"/>
      <c r="NI20" s="169"/>
      <c r="NJ20" s="169"/>
      <c r="NK20" s="169"/>
      <c r="NL20" s="169"/>
      <c r="NM20" s="173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211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213"/>
      <c r="D22" s="147" t="str">
        <f t="shared" si="0"/>
        <v>0h55min</v>
      </c>
      <c r="E22" s="35">
        <v>11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167"/>
      <c r="GT22" s="167"/>
      <c r="GU22" s="1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211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213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211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21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211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213"/>
      <c r="D28" s="148" t="str">
        <f t="shared" si="0"/>
        <v>0h30min</v>
      </c>
      <c r="E28" s="27">
        <v>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16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211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213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211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212"/>
      <c r="D32" s="148" t="str">
        <f t="shared" si="0"/>
        <v>0h30min</v>
      </c>
      <c r="E32" s="27">
        <v>6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172"/>
      <c r="MA32" s="172"/>
      <c r="MB32" s="169"/>
      <c r="MC32" s="173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211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213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211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212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211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213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211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213"/>
      <c r="D40" s="147" t="str">
        <f t="shared" si="0"/>
        <v>0h50min</v>
      </c>
      <c r="E40" s="27">
        <v>10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191"/>
      <c r="DW40" s="172"/>
      <c r="DX40" s="172"/>
      <c r="DY40" s="172"/>
      <c r="DZ40" s="169"/>
      <c r="EA40" s="192"/>
      <c r="EB40" s="169"/>
      <c r="EC40" s="169"/>
      <c r="ED40" s="169"/>
      <c r="EE40" s="16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211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212"/>
      <c r="D42" s="148" t="str">
        <f t="shared" si="0"/>
        <v>2h5min</v>
      </c>
      <c r="E42" s="35">
        <v>25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167"/>
      <c r="EL42" s="167"/>
      <c r="EM42" s="175"/>
      <c r="EN42" s="167"/>
      <c r="EO42" s="167"/>
      <c r="EP42" s="167"/>
      <c r="EQ42" s="167"/>
      <c r="ER42" s="16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166"/>
      <c r="FD42" s="167"/>
      <c r="FE42" s="170"/>
      <c r="FF42" s="16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167"/>
      <c r="GM42" s="167"/>
      <c r="GN42" s="167"/>
      <c r="GO42" s="170"/>
      <c r="GP42" s="167"/>
      <c r="GQ42" s="167"/>
      <c r="GR42" s="167"/>
      <c r="GS42" s="37"/>
      <c r="GT42" s="37"/>
      <c r="GU42" s="75"/>
      <c r="GV42" s="167"/>
      <c r="GW42" s="167"/>
      <c r="GX42" s="167"/>
      <c r="GY42" s="167"/>
      <c r="GZ42" s="167"/>
      <c r="HA42" s="170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211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213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167"/>
      <c r="HC44" s="167"/>
      <c r="HD44" s="167"/>
      <c r="HE44" s="167"/>
      <c r="HF44" s="167"/>
      <c r="HG44" s="175"/>
      <c r="HH44" s="166"/>
      <c r="HI44" s="166"/>
      <c r="HJ44" s="166"/>
      <c r="HK44" s="166"/>
      <c r="HL44" s="167"/>
      <c r="HM44" s="170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165"/>
      <c r="IM44" s="166"/>
      <c r="IN44" s="166"/>
      <c r="IO44" s="166"/>
      <c r="IP44" s="167"/>
      <c r="IQ44" s="168"/>
      <c r="IR44" s="167"/>
      <c r="IS44" s="167"/>
      <c r="IT44" s="167"/>
      <c r="IU44" s="167"/>
      <c r="IV44" s="167"/>
      <c r="IW44" s="170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211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213"/>
      <c r="D46" s="147" t="str">
        <f t="shared" si="0"/>
        <v>4h5min</v>
      </c>
      <c r="E46" s="35">
        <v>49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167"/>
      <c r="JI46" s="170"/>
      <c r="JJ46" s="167"/>
      <c r="JK46" s="167"/>
      <c r="JL46" s="167"/>
      <c r="JM46" s="167"/>
      <c r="JN46" s="167"/>
      <c r="JO46" s="175"/>
      <c r="JP46" s="166"/>
      <c r="JQ46" s="166"/>
      <c r="JR46" s="166"/>
      <c r="JS46" s="166"/>
      <c r="JT46" s="167"/>
      <c r="JU46" s="170"/>
      <c r="JV46" s="16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165"/>
      <c r="KU46" s="166"/>
      <c r="KV46" s="166"/>
      <c r="KW46" s="166"/>
      <c r="KX46" s="167"/>
      <c r="KY46" s="168"/>
      <c r="KZ46" s="167"/>
      <c r="LA46" s="167"/>
      <c r="LB46" s="167"/>
      <c r="LC46" s="167"/>
      <c r="LD46" s="167"/>
      <c r="LE46" s="170"/>
      <c r="LF46" s="167"/>
      <c r="LG46" s="167"/>
      <c r="LH46" s="167"/>
      <c r="LI46" s="167"/>
      <c r="LJ46" s="167"/>
      <c r="LK46" s="175"/>
      <c r="LL46" s="167"/>
      <c r="LM46" s="167"/>
      <c r="LN46" s="167"/>
      <c r="LO46" s="167"/>
      <c r="LP46" s="167"/>
      <c r="LQ46" s="170"/>
      <c r="LR46" s="167"/>
      <c r="LS46" s="37"/>
      <c r="LT46" s="167"/>
      <c r="LU46" s="167"/>
      <c r="LV46" s="167"/>
      <c r="LW46" s="175"/>
      <c r="LX46" s="166"/>
      <c r="LY46" s="166"/>
      <c r="LZ46" s="65"/>
      <c r="MA46" s="65"/>
      <c r="MB46" s="37"/>
      <c r="MC46" s="138"/>
      <c r="MD46" s="167"/>
      <c r="ME46" s="167"/>
      <c r="MF46" s="16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211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21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211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21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211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212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211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21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211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21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211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21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211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21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211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21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211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21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211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21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211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21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211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21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21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212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21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21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21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21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21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212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21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21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21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21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21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212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21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21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21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212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21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21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21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21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21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212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03" t="s">
        <v>9</v>
      </c>
      <c r="D95" s="204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05"/>
      <c r="D96" s="206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07" t="s">
        <v>10</v>
      </c>
      <c r="D97" s="208"/>
      <c r="E97" s="118">
        <f>SUM(E16,E18,E20,E22,E24,E26,E28,E30,E32,E34,E36,E38,E40,E42,E44,E46,E48,E50,E52,E54,E56,E58,E60,E62,E64,E66,E68,E70,E72,E74,E76,E78,E80,E82,E84,E86,E88,E90,E92,E94)</f>
        <v>247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09"/>
      <c r="D98" s="210"/>
      <c r="E98" s="122" t="str">
        <f xml:space="preserve"> setValueToTime(E97)</f>
        <v>20h35min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16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27" t="s">
        <v>13</v>
      </c>
      <c r="F3" s="228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29"/>
      <c r="F4" s="23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33"/>
      <c r="F12" s="23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27" t="s">
        <v>13</v>
      </c>
      <c r="F15" s="228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29"/>
      <c r="F16" s="230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31"/>
      <c r="F17" s="23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33"/>
      <c r="F24" s="23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27" t="s">
        <v>13</v>
      </c>
      <c r="F27" s="228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29"/>
      <c r="F28" s="230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31"/>
      <c r="F29" s="23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33"/>
      <c r="F36" s="23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27" t="s">
        <v>13</v>
      </c>
      <c r="F39" s="228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29"/>
      <c r="F40" s="230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31"/>
      <c r="F41" s="232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33"/>
      <c r="F48" s="23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27" t="s">
        <v>13</v>
      </c>
      <c r="F51" s="228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29"/>
      <c r="F52" s="230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31"/>
      <c r="F53" s="232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33"/>
      <c r="F60" s="23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27" t="s">
        <v>13</v>
      </c>
      <c r="F63" s="228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29"/>
      <c r="F64" s="230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31"/>
      <c r="F65" s="232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31"/>
      <c r="F66" s="232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31"/>
      <c r="F67" s="232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33"/>
      <c r="F72" s="23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27" t="s">
        <v>13</v>
      </c>
      <c r="F75" s="228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29"/>
      <c r="F76" s="230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31"/>
      <c r="F77" s="232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33"/>
      <c r="F84" s="23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27" t="s">
        <v>13</v>
      </c>
      <c r="F87" s="228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29"/>
      <c r="F88" s="230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31"/>
      <c r="F89" s="232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33"/>
      <c r="F96" s="23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27" t="s">
        <v>13</v>
      </c>
      <c r="F99" s="228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29"/>
      <c r="F100" s="230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31"/>
      <c r="F101" s="23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33"/>
      <c r="F108" s="23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27" t="s">
        <v>13</v>
      </c>
      <c r="F111" s="228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29"/>
      <c r="F112" s="230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31"/>
      <c r="F113" s="232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33"/>
      <c r="F120" s="23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27" t="s">
        <v>13</v>
      </c>
      <c r="F123" s="228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29"/>
      <c r="F124" s="230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31"/>
      <c r="F125" s="23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33"/>
      <c r="F132" s="23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27" t="s">
        <v>13</v>
      </c>
      <c r="F135" s="228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29"/>
      <c r="F136" s="230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33"/>
      <c r="F144" s="23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27" t="s">
        <v>13</v>
      </c>
      <c r="F147" s="228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29"/>
      <c r="F148" s="230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31"/>
      <c r="F149" s="232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33"/>
      <c r="F156" s="23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27" t="s">
        <v>13</v>
      </c>
      <c r="F159" s="228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29"/>
      <c r="F160" s="230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31"/>
      <c r="F161" s="23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33"/>
      <c r="F168" s="23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27" t="s">
        <v>13</v>
      </c>
      <c r="F171" s="228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29"/>
      <c r="F172" s="230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5"/>
      <c r="F179" s="236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33"/>
      <c r="F180" s="23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27" t="s">
        <v>13</v>
      </c>
      <c r="F183" s="228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29"/>
      <c r="F184" s="230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31"/>
      <c r="F185" s="232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33"/>
      <c r="F192" s="23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27" t="s">
        <v>13</v>
      </c>
      <c r="F195" s="228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29"/>
      <c r="F196" s="230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31"/>
      <c r="F197" s="232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5"/>
      <c r="F203" s="236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33"/>
      <c r="F204" s="23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27" t="s">
        <v>13</v>
      </c>
      <c r="F207" s="228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29"/>
      <c r="F208" s="230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31"/>
      <c r="F209" s="232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31"/>
      <c r="F210" s="232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33"/>
      <c r="F216" s="23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27" t="s">
        <v>13</v>
      </c>
      <c r="F219" s="228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29"/>
      <c r="F220" s="230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31"/>
      <c r="F221" s="232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/>
      <c r="F227" s="236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33"/>
      <c r="F228" s="23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27" t="s">
        <v>13</v>
      </c>
      <c r="F231" s="228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29"/>
      <c r="F232" s="230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31"/>
      <c r="F233" s="232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5"/>
      <c r="F239" s="236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33"/>
      <c r="F240" s="23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27" t="s">
        <v>13</v>
      </c>
      <c r="F243" s="228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29"/>
      <c r="F244" s="230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31"/>
      <c r="F245" s="232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5"/>
      <c r="F251" s="236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33"/>
      <c r="F252" s="23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27" t="s">
        <v>13</v>
      </c>
      <c r="F255" s="228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29"/>
      <c r="F256" s="230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31"/>
      <c r="F257" s="232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5"/>
      <c r="F263" s="236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33"/>
      <c r="F264" s="23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27" t="s">
        <v>13</v>
      </c>
      <c r="F267" s="228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29"/>
      <c r="F268" s="230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31"/>
      <c r="F269" s="232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5"/>
      <c r="F275" s="236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33"/>
      <c r="F276" s="23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27" t="s">
        <v>13</v>
      </c>
      <c r="F279" s="228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29"/>
      <c r="F280" s="230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31"/>
      <c r="F281" s="232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5"/>
      <c r="F287" s="236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33"/>
      <c r="F288" s="23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27" t="s">
        <v>13</v>
      </c>
      <c r="F291" s="228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29"/>
      <c r="F292" s="230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31"/>
      <c r="F293" s="232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31"/>
      <c r="F294" s="232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31"/>
      <c r="F295" s="232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31"/>
      <c r="F296" s="232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31"/>
      <c r="F297" s="232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5"/>
      <c r="F299" s="236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33"/>
      <c r="F300" s="23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27" t="s">
        <v>13</v>
      </c>
      <c r="F303" s="228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29"/>
      <c r="F304" s="230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31"/>
      <c r="F305" s="232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5"/>
      <c r="F311" s="236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33"/>
      <c r="F312" s="234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27" t="s">
        <v>13</v>
      </c>
      <c r="F315" s="228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29"/>
      <c r="F316" s="230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31"/>
      <c r="F317" s="232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31"/>
      <c r="F319" s="232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31"/>
      <c r="F320" s="232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31"/>
      <c r="F321" s="232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31"/>
      <c r="F322" s="232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35"/>
      <c r="F323" s="236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33"/>
      <c r="F324" s="234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35" priority="27" operator="greaterThan">
      <formula>60</formula>
    </cfRule>
  </conditionalFormatting>
  <conditionalFormatting sqref="B312">
    <cfRule type="cellIs" dxfId="34" priority="26" operator="greaterThan">
      <formula>60</formula>
    </cfRule>
  </conditionalFormatting>
  <conditionalFormatting sqref="B300">
    <cfRule type="cellIs" dxfId="33" priority="25" operator="greaterThan">
      <formula>60</formula>
    </cfRule>
  </conditionalFormatting>
  <conditionalFormatting sqref="B288">
    <cfRule type="cellIs" dxfId="32" priority="24" operator="greaterThan">
      <formula>60</formula>
    </cfRule>
  </conditionalFormatting>
  <conditionalFormatting sqref="B276">
    <cfRule type="cellIs" dxfId="31" priority="23" operator="greaterThan">
      <formula>60</formula>
    </cfRule>
  </conditionalFormatting>
  <conditionalFormatting sqref="B264">
    <cfRule type="cellIs" dxfId="30" priority="22" operator="greaterThan">
      <formula>60</formula>
    </cfRule>
  </conditionalFormatting>
  <conditionalFormatting sqref="B252">
    <cfRule type="cellIs" dxfId="29" priority="21" operator="greaterThan">
      <formula>60</formula>
    </cfRule>
  </conditionalFormatting>
  <conditionalFormatting sqref="B240">
    <cfRule type="cellIs" dxfId="28" priority="20" operator="greaterThan">
      <formula>60</formula>
    </cfRule>
  </conditionalFormatting>
  <conditionalFormatting sqref="B228">
    <cfRule type="cellIs" dxfId="27" priority="19" operator="greaterThan">
      <formula>60</formula>
    </cfRule>
  </conditionalFormatting>
  <conditionalFormatting sqref="B216">
    <cfRule type="cellIs" dxfId="26" priority="18" operator="greaterThan">
      <formula>60</formula>
    </cfRule>
  </conditionalFormatting>
  <conditionalFormatting sqref="B204">
    <cfRule type="cellIs" dxfId="25" priority="17" operator="greaterThan">
      <formula>60</formula>
    </cfRule>
  </conditionalFormatting>
  <conditionalFormatting sqref="B192">
    <cfRule type="cellIs" dxfId="24" priority="16" operator="greaterThan">
      <formula>60</formula>
    </cfRule>
  </conditionalFormatting>
  <conditionalFormatting sqref="B180">
    <cfRule type="cellIs" dxfId="23" priority="15" operator="greaterThan">
      <formula>60</formula>
    </cfRule>
  </conditionalFormatting>
  <conditionalFormatting sqref="B168">
    <cfRule type="cellIs" dxfId="22" priority="14" operator="greaterThan">
      <formula>60</formula>
    </cfRule>
  </conditionalFormatting>
  <conditionalFormatting sqref="B156">
    <cfRule type="cellIs" dxfId="21" priority="13" operator="greaterThan">
      <formula>60</formula>
    </cfRule>
  </conditionalFormatting>
  <conditionalFormatting sqref="B144">
    <cfRule type="cellIs" dxfId="20" priority="12" operator="greaterThan">
      <formula>60</formula>
    </cfRule>
  </conditionalFormatting>
  <conditionalFormatting sqref="B132">
    <cfRule type="cellIs" dxfId="19" priority="11" operator="greaterThan">
      <formula>60</formula>
    </cfRule>
  </conditionalFormatting>
  <conditionalFormatting sqref="B120">
    <cfRule type="cellIs" dxfId="18" priority="10" operator="greaterThan">
      <formula>60</formula>
    </cfRule>
  </conditionalFormatting>
  <conditionalFormatting sqref="B108">
    <cfRule type="cellIs" dxfId="17" priority="9" operator="greaterThan">
      <formula>60</formula>
    </cfRule>
  </conditionalFormatting>
  <conditionalFormatting sqref="B96">
    <cfRule type="cellIs" dxfId="16" priority="8" operator="greaterThan">
      <formula>60</formula>
    </cfRule>
  </conditionalFormatting>
  <conditionalFormatting sqref="B84">
    <cfRule type="cellIs" dxfId="15" priority="7" operator="greaterThan">
      <formula>60</formula>
    </cfRule>
  </conditionalFormatting>
  <conditionalFormatting sqref="B72">
    <cfRule type="cellIs" dxfId="14" priority="6" operator="greaterThan">
      <formula>60</formula>
    </cfRule>
  </conditionalFormatting>
  <conditionalFormatting sqref="B60">
    <cfRule type="cellIs" dxfId="13" priority="5" operator="greaterThan">
      <formula>60</formula>
    </cfRule>
  </conditionalFormatting>
  <conditionalFormatting sqref="B48">
    <cfRule type="cellIs" dxfId="12" priority="4" operator="greaterThan">
      <formula>60</formula>
    </cfRule>
  </conditionalFormatting>
  <conditionalFormatting sqref="B36">
    <cfRule type="cellIs" dxfId="11" priority="3" operator="greaterThan">
      <formula>60</formula>
    </cfRule>
  </conditionalFormatting>
  <conditionalFormatting sqref="B24">
    <cfRule type="cellIs" dxfId="10" priority="2" operator="greaterThan">
      <formula>60</formula>
    </cfRule>
  </conditionalFormatting>
  <conditionalFormatting sqref="B12">
    <cfRule type="cellIs" dxfId="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D10" sqref="D10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7</v>
      </c>
      <c r="C2" s="164"/>
      <c r="D2" s="157" t="s">
        <v>14</v>
      </c>
      <c r="E2" s="158" t="s">
        <v>108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9" t="s">
        <v>13</v>
      </c>
      <c r="F3" s="240"/>
      <c r="G3" s="46"/>
    </row>
    <row r="4" spans="1:7" s="52" customFormat="1" x14ac:dyDescent="0.3">
      <c r="A4" s="48" t="s">
        <v>15</v>
      </c>
      <c r="B4" s="49">
        <v>4</v>
      </c>
      <c r="C4" s="152" t="str">
        <f xml:space="preserve"> IF(B4="","",setValueToTime(B4))</f>
        <v>0h20min</v>
      </c>
      <c r="D4" s="50" t="s">
        <v>161</v>
      </c>
      <c r="E4" s="229"/>
      <c r="F4" s="230"/>
      <c r="G4" s="51"/>
    </row>
    <row r="5" spans="1:7" s="52" customFormat="1" x14ac:dyDescent="0.3">
      <c r="A5" s="53" t="s">
        <v>15</v>
      </c>
      <c r="B5" s="54">
        <v>8</v>
      </c>
      <c r="C5" s="153" t="str">
        <f t="shared" ref="C5:C11" si="0" xml:space="preserve"> IF(B5="","",setValueToTime(B5))</f>
        <v>0h40min</v>
      </c>
      <c r="D5" s="55" t="s">
        <v>162</v>
      </c>
      <c r="E5" s="231"/>
      <c r="F5" s="232"/>
      <c r="G5" s="51"/>
    </row>
    <row r="6" spans="1:7" s="52" customFormat="1" ht="27" x14ac:dyDescent="0.3">
      <c r="A6" s="53" t="s">
        <v>65</v>
      </c>
      <c r="B6" s="54">
        <v>24</v>
      </c>
      <c r="C6" s="153" t="str">
        <f t="shared" si="0"/>
        <v>2h</v>
      </c>
      <c r="D6" s="55" t="s">
        <v>165</v>
      </c>
      <c r="E6" s="231"/>
      <c r="F6" s="232"/>
      <c r="G6" s="51"/>
    </row>
    <row r="7" spans="1:7" s="52" customFormat="1" ht="27" x14ac:dyDescent="0.3">
      <c r="A7" s="53" t="s">
        <v>16</v>
      </c>
      <c r="B7" s="54">
        <v>1</v>
      </c>
      <c r="C7" s="153" t="str">
        <f t="shared" si="0"/>
        <v>0h5min</v>
      </c>
      <c r="D7" s="174" t="s">
        <v>146</v>
      </c>
      <c r="E7" s="231"/>
      <c r="F7" s="232"/>
      <c r="G7" s="51"/>
    </row>
    <row r="8" spans="1:7" s="52" customFormat="1" x14ac:dyDescent="0.3">
      <c r="A8" s="53" t="s">
        <v>117</v>
      </c>
      <c r="B8" s="54">
        <v>1</v>
      </c>
      <c r="C8" s="154" t="str">
        <f t="shared" si="0"/>
        <v>0h5min</v>
      </c>
      <c r="D8" s="55" t="s">
        <v>166</v>
      </c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62" t="s">
        <v>28</v>
      </c>
      <c r="B12" s="83">
        <f>SUM(B4:B11)</f>
        <v>38</v>
      </c>
      <c r="C12" s="162" t="str">
        <f xml:space="preserve"> setValueToTime(B12)</f>
        <v>3h10min</v>
      </c>
      <c r="D12" s="121"/>
      <c r="E12" s="237"/>
      <c r="F12" s="23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6</v>
      </c>
      <c r="C14" s="164"/>
      <c r="D14" s="157" t="s">
        <v>14</v>
      </c>
      <c r="E14" s="158" t="s">
        <v>108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9" t="s">
        <v>13</v>
      </c>
      <c r="F15" s="240"/>
      <c r="G15" s="46"/>
    </row>
    <row r="16" spans="1:7" s="52" customFormat="1" ht="27" x14ac:dyDescent="0.3">
      <c r="A16" s="48" t="s">
        <v>64</v>
      </c>
      <c r="B16" s="49">
        <v>25</v>
      </c>
      <c r="C16" s="152" t="str">
        <f xml:space="preserve"> IF(B16="","",setValueToTime(B16))</f>
        <v>2h5min</v>
      </c>
      <c r="D16" s="50" t="s">
        <v>158</v>
      </c>
      <c r="E16" s="229"/>
      <c r="F16" s="230"/>
      <c r="G16" s="51"/>
    </row>
    <row r="17" spans="1:7" s="52" customFormat="1" ht="27" x14ac:dyDescent="0.3">
      <c r="A17" s="53" t="s">
        <v>16</v>
      </c>
      <c r="B17" s="54">
        <v>1</v>
      </c>
      <c r="C17" s="153" t="str">
        <f t="shared" ref="C17:C23" si="1" xml:space="preserve"> IF(B17="","",setValueToTime(B17))</f>
        <v>0h5min</v>
      </c>
      <c r="D17" s="174" t="s">
        <v>146</v>
      </c>
      <c r="E17" s="231"/>
      <c r="F17" s="232"/>
      <c r="G17" s="51"/>
    </row>
    <row r="18" spans="1:7" s="52" customFormat="1" ht="27" x14ac:dyDescent="0.3">
      <c r="A18" s="53" t="s">
        <v>64</v>
      </c>
      <c r="B18" s="54">
        <v>6</v>
      </c>
      <c r="C18" s="153" t="str">
        <f t="shared" si="1"/>
        <v>0h30min</v>
      </c>
      <c r="D18" s="55" t="s">
        <v>158</v>
      </c>
      <c r="E18" s="231"/>
      <c r="F18" s="232"/>
      <c r="G18" s="51"/>
    </row>
    <row r="19" spans="1:7" s="52" customFormat="1" ht="40.5" x14ac:dyDescent="0.3">
      <c r="A19" s="53" t="s">
        <v>45</v>
      </c>
      <c r="B19" s="54">
        <v>4</v>
      </c>
      <c r="C19" s="153" t="str">
        <f t="shared" si="1"/>
        <v>0h20min</v>
      </c>
      <c r="D19" s="55" t="s">
        <v>159</v>
      </c>
      <c r="E19" s="231"/>
      <c r="F19" s="232"/>
      <c r="G19" s="51"/>
    </row>
    <row r="20" spans="1:7" s="52" customFormat="1" ht="27" x14ac:dyDescent="0.3">
      <c r="A20" s="54" t="s">
        <v>64</v>
      </c>
      <c r="B20" s="54">
        <v>3</v>
      </c>
      <c r="C20" s="154" t="str">
        <f t="shared" si="1"/>
        <v>0h15min</v>
      </c>
      <c r="D20" s="55" t="s">
        <v>160</v>
      </c>
      <c r="E20" s="231"/>
      <c r="F20" s="232"/>
      <c r="G20" s="51"/>
    </row>
    <row r="21" spans="1:7" s="52" customFormat="1" x14ac:dyDescent="0.3">
      <c r="A21" s="54" t="s">
        <v>15</v>
      </c>
      <c r="B21" s="54">
        <v>9</v>
      </c>
      <c r="C21" s="154" t="str">
        <f t="shared" si="1"/>
        <v>0h45min</v>
      </c>
      <c r="D21" s="55" t="s">
        <v>161</v>
      </c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62" t="s">
        <v>28</v>
      </c>
      <c r="B24" s="83">
        <f>SUM(B16:B23)</f>
        <v>48</v>
      </c>
      <c r="C24" s="162" t="str">
        <f xml:space="preserve"> setValueToTime(B24)</f>
        <v>4h</v>
      </c>
      <c r="D24" s="121"/>
      <c r="E24" s="237"/>
      <c r="F24" s="23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5</v>
      </c>
      <c r="C26" s="164"/>
      <c r="D26" s="157" t="s">
        <v>14</v>
      </c>
      <c r="E26" s="158" t="s">
        <v>111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12</v>
      </c>
      <c r="E27" s="239" t="s">
        <v>13</v>
      </c>
      <c r="F27" s="240"/>
      <c r="G27" s="46"/>
    </row>
    <row r="28" spans="1:7" s="52" customFormat="1" x14ac:dyDescent="0.3">
      <c r="A28" s="48" t="s">
        <v>63</v>
      </c>
      <c r="B28" s="49">
        <v>12</v>
      </c>
      <c r="C28" s="152" t="str">
        <f xml:space="preserve"> IF(B28="","",setValueToTime(B28))</f>
        <v>1h</v>
      </c>
      <c r="D28" s="50" t="s">
        <v>156</v>
      </c>
      <c r="E28" s="229"/>
      <c r="F28" s="230"/>
      <c r="G28" s="51"/>
    </row>
    <row r="29" spans="1:7" s="52" customFormat="1" x14ac:dyDescent="0.3">
      <c r="A29" s="53" t="s">
        <v>15</v>
      </c>
      <c r="B29" s="54">
        <v>10</v>
      </c>
      <c r="C29" s="153" t="str">
        <f t="shared" ref="C29:C35" si="2" xml:space="preserve"> IF(B29="","",setValueToTime(B29))</f>
        <v>0h50min</v>
      </c>
      <c r="D29" s="55" t="s">
        <v>155</v>
      </c>
      <c r="E29" s="231"/>
      <c r="F29" s="232"/>
      <c r="G29" s="51"/>
    </row>
    <row r="30" spans="1:7" s="52" customFormat="1" ht="27" x14ac:dyDescent="0.3">
      <c r="A30" s="53" t="s">
        <v>64</v>
      </c>
      <c r="B30" s="54">
        <v>15</v>
      </c>
      <c r="C30" s="153" t="str">
        <f t="shared" si="2"/>
        <v>1h15min</v>
      </c>
      <c r="D30" s="55" t="s">
        <v>157</v>
      </c>
      <c r="E30" s="231"/>
      <c r="F30" s="232"/>
      <c r="G30" s="51"/>
    </row>
    <row r="31" spans="1:7" s="52" customFormat="1" ht="27" x14ac:dyDescent="0.3">
      <c r="A31" s="53" t="s">
        <v>16</v>
      </c>
      <c r="B31" s="54">
        <v>1</v>
      </c>
      <c r="C31" s="153" t="str">
        <f t="shared" si="2"/>
        <v>0h5min</v>
      </c>
      <c r="D31" s="174" t="s">
        <v>146</v>
      </c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62" t="s">
        <v>28</v>
      </c>
      <c r="B36" s="83">
        <f>SUM(B28:B35)</f>
        <v>38</v>
      </c>
      <c r="C36" s="162" t="str">
        <f xml:space="preserve"> setValueToTime(B36)</f>
        <v>3h10min</v>
      </c>
      <c r="D36" s="121"/>
      <c r="E36" s="237"/>
      <c r="F36" s="23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4</v>
      </c>
      <c r="C38" s="164"/>
      <c r="D38" s="157" t="s">
        <v>14</v>
      </c>
      <c r="E38" s="158" t="s">
        <v>113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12</v>
      </c>
      <c r="E39" s="239" t="s">
        <v>13</v>
      </c>
      <c r="F39" s="240"/>
      <c r="G39" s="46"/>
    </row>
    <row r="40" spans="1:7" s="52" customFormat="1" x14ac:dyDescent="0.3">
      <c r="A40" s="48" t="s">
        <v>15</v>
      </c>
      <c r="B40" s="49">
        <v>8</v>
      </c>
      <c r="C40" s="152" t="str">
        <f xml:space="preserve"> IF(B40="","",setValueToTime(B40))</f>
        <v>0h40min</v>
      </c>
      <c r="D40" s="50" t="s">
        <v>151</v>
      </c>
      <c r="E40" s="229"/>
      <c r="F40" s="230"/>
      <c r="G40" s="51"/>
    </row>
    <row r="41" spans="1:7" s="52" customFormat="1" ht="27" x14ac:dyDescent="0.3">
      <c r="A41" s="53" t="s">
        <v>62</v>
      </c>
      <c r="B41" s="54">
        <v>7</v>
      </c>
      <c r="C41" s="153" t="str">
        <f t="shared" ref="C41:C47" si="3" xml:space="preserve"> IF(B41="","",setValueToTime(B41))</f>
        <v>0h35min</v>
      </c>
      <c r="D41" s="55" t="s">
        <v>150</v>
      </c>
      <c r="E41" s="231"/>
      <c r="F41" s="232"/>
      <c r="G41" s="51"/>
    </row>
    <row r="42" spans="1:7" s="52" customFormat="1" ht="27" x14ac:dyDescent="0.3">
      <c r="A42" s="53" t="s">
        <v>40</v>
      </c>
      <c r="B42" s="54">
        <v>3</v>
      </c>
      <c r="C42" s="153" t="str">
        <f t="shared" si="3"/>
        <v>0h15min</v>
      </c>
      <c r="D42" s="55" t="s">
        <v>152</v>
      </c>
      <c r="E42" s="231"/>
      <c r="F42" s="232"/>
      <c r="G42" s="51"/>
    </row>
    <row r="43" spans="1:7" s="52" customFormat="1" ht="27" x14ac:dyDescent="0.3">
      <c r="A43" s="53" t="s">
        <v>62</v>
      </c>
      <c r="B43" s="54">
        <v>6</v>
      </c>
      <c r="C43" s="153" t="str">
        <f t="shared" si="3"/>
        <v>0h30min</v>
      </c>
      <c r="D43" s="55" t="s">
        <v>150</v>
      </c>
      <c r="E43" s="231"/>
      <c r="F43" s="232"/>
      <c r="G43" s="51"/>
    </row>
    <row r="44" spans="1:7" s="52" customFormat="1" x14ac:dyDescent="0.3">
      <c r="A44" s="54" t="s">
        <v>63</v>
      </c>
      <c r="B44" s="54">
        <v>12</v>
      </c>
      <c r="C44" s="154" t="str">
        <f t="shared" si="3"/>
        <v>1h</v>
      </c>
      <c r="D44" s="55" t="s">
        <v>153</v>
      </c>
      <c r="E44" s="231"/>
      <c r="F44" s="232"/>
      <c r="G44" s="51"/>
    </row>
    <row r="45" spans="1:7" s="52" customFormat="1" ht="27" x14ac:dyDescent="0.3">
      <c r="A45" s="54" t="s">
        <v>16</v>
      </c>
      <c r="B45" s="54">
        <v>1</v>
      </c>
      <c r="C45" s="154" t="str">
        <f t="shared" si="3"/>
        <v>0h5min</v>
      </c>
      <c r="D45" s="174" t="s">
        <v>146</v>
      </c>
      <c r="E45" s="231"/>
      <c r="F45" s="232"/>
      <c r="G45" s="51"/>
    </row>
    <row r="46" spans="1:7" s="52" customFormat="1" x14ac:dyDescent="0.3">
      <c r="A46" s="54" t="s">
        <v>117</v>
      </c>
      <c r="B46" s="54">
        <v>1</v>
      </c>
      <c r="C46" s="154" t="str">
        <f t="shared" si="3"/>
        <v>0h5min</v>
      </c>
      <c r="D46" s="55" t="s">
        <v>154</v>
      </c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62" t="s">
        <v>28</v>
      </c>
      <c r="B48" s="83">
        <f>SUM(B40:B47)</f>
        <v>38</v>
      </c>
      <c r="C48" s="162" t="str">
        <f xml:space="preserve"> setValueToTime(B48)</f>
        <v>3h10min</v>
      </c>
      <c r="D48" s="121"/>
      <c r="E48" s="237"/>
      <c r="F48" s="23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3</v>
      </c>
      <c r="C50" s="164"/>
      <c r="D50" s="157" t="s">
        <v>14</v>
      </c>
      <c r="E50" s="158" t="s">
        <v>113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39</v>
      </c>
      <c r="C51" s="160"/>
      <c r="D51" s="78" t="s">
        <v>12</v>
      </c>
      <c r="E51" s="239" t="s">
        <v>13</v>
      </c>
      <c r="F51" s="240"/>
      <c r="G51" s="46"/>
    </row>
    <row r="52" spans="1:7" s="52" customFormat="1" ht="27" x14ac:dyDescent="0.3">
      <c r="A52" s="48" t="s">
        <v>61</v>
      </c>
      <c r="B52" s="49">
        <v>10</v>
      </c>
      <c r="C52" s="152" t="str">
        <f xml:space="preserve"> IF(B52="","",setValueToTime(B52))</f>
        <v>0h50min</v>
      </c>
      <c r="D52" s="50" t="s">
        <v>147</v>
      </c>
      <c r="E52" s="229"/>
      <c r="F52" s="230"/>
      <c r="G52" s="51"/>
    </row>
    <row r="53" spans="1:7" s="52" customFormat="1" x14ac:dyDescent="0.3">
      <c r="A53" s="53" t="s">
        <v>15</v>
      </c>
      <c r="B53" s="54">
        <v>5</v>
      </c>
      <c r="C53" s="153" t="str">
        <f t="shared" ref="C53:C59" si="4" xml:space="preserve"> IF(B53="","",setValueToTime(B53))</f>
        <v>0h25min</v>
      </c>
      <c r="D53" s="55" t="s">
        <v>148</v>
      </c>
      <c r="E53" s="231"/>
      <c r="F53" s="232"/>
      <c r="G53" s="51"/>
    </row>
    <row r="54" spans="1:7" s="52" customFormat="1" ht="27" x14ac:dyDescent="0.3">
      <c r="A54" s="53" t="s">
        <v>62</v>
      </c>
      <c r="B54" s="54">
        <v>8</v>
      </c>
      <c r="C54" s="153" t="str">
        <f t="shared" si="4"/>
        <v>0h40min</v>
      </c>
      <c r="D54" s="55" t="s">
        <v>150</v>
      </c>
      <c r="E54" s="231"/>
      <c r="F54" s="232"/>
      <c r="G54" s="51"/>
    </row>
    <row r="55" spans="1:7" s="52" customFormat="1" x14ac:dyDescent="0.3">
      <c r="A55" s="53" t="s">
        <v>15</v>
      </c>
      <c r="B55" s="54">
        <v>10</v>
      </c>
      <c r="C55" s="153" t="str">
        <f t="shared" si="4"/>
        <v>0h50min</v>
      </c>
      <c r="D55" s="55" t="s">
        <v>149</v>
      </c>
      <c r="E55" s="231"/>
      <c r="F55" s="232"/>
      <c r="G55" s="51"/>
    </row>
    <row r="56" spans="1:7" s="52" customFormat="1" ht="27" x14ac:dyDescent="0.3">
      <c r="A56" s="53" t="s">
        <v>62</v>
      </c>
      <c r="B56" s="54">
        <v>4</v>
      </c>
      <c r="C56" s="154" t="str">
        <f t="shared" si="4"/>
        <v>0h20min</v>
      </c>
      <c r="D56" s="55" t="s">
        <v>150</v>
      </c>
      <c r="E56" s="231"/>
      <c r="F56" s="232"/>
      <c r="G56" s="51"/>
    </row>
    <row r="57" spans="1:7" s="52" customFormat="1" ht="27" x14ac:dyDescent="0.3">
      <c r="A57" s="54" t="s">
        <v>16</v>
      </c>
      <c r="B57" s="54">
        <v>1</v>
      </c>
      <c r="C57" s="154" t="str">
        <f t="shared" si="4"/>
        <v>0h5min</v>
      </c>
      <c r="D57" s="174" t="s">
        <v>146</v>
      </c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62" t="s">
        <v>28</v>
      </c>
      <c r="B60" s="83">
        <f>SUM(B52:B59)</f>
        <v>38</v>
      </c>
      <c r="C60" s="162" t="str">
        <f xml:space="preserve"> setValueToTime(B60)</f>
        <v>3h10min</v>
      </c>
      <c r="D60" s="121"/>
      <c r="E60" s="237"/>
      <c r="F60" s="238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2</v>
      </c>
      <c r="C62" s="164"/>
      <c r="D62" s="157" t="s">
        <v>14</v>
      </c>
      <c r="E62" s="158">
        <v>45411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39</v>
      </c>
      <c r="C63" s="160"/>
      <c r="D63" s="78" t="s">
        <v>12</v>
      </c>
      <c r="E63" s="239" t="s">
        <v>13</v>
      </c>
      <c r="F63" s="240"/>
      <c r="G63" s="46"/>
    </row>
    <row r="64" spans="1:7" s="52" customFormat="1" ht="27" x14ac:dyDescent="0.3">
      <c r="A64" s="48" t="s">
        <v>48</v>
      </c>
      <c r="B64" s="49">
        <v>10</v>
      </c>
      <c r="C64" s="152" t="str">
        <f xml:space="preserve"> IF(B64="","",setValueToTime(B64))</f>
        <v>0h50min</v>
      </c>
      <c r="D64" s="176" t="s">
        <v>118</v>
      </c>
      <c r="E64" s="229"/>
      <c r="F64" s="230"/>
      <c r="G64" s="51"/>
    </row>
    <row r="65" spans="1:7" s="52" customFormat="1" ht="27" x14ac:dyDescent="0.3">
      <c r="A65" s="53" t="s">
        <v>40</v>
      </c>
      <c r="B65" s="54">
        <v>1</v>
      </c>
      <c r="C65" s="153" t="str">
        <f t="shared" ref="C65:C71" si="5" xml:space="preserve"> IF(B65="","",setValueToTime(B65))</f>
        <v>0h5min</v>
      </c>
      <c r="D65" s="174" t="s">
        <v>119</v>
      </c>
      <c r="E65" s="231"/>
      <c r="F65" s="232"/>
      <c r="G65" s="51"/>
    </row>
    <row r="66" spans="1:7" s="52" customFormat="1" ht="27" x14ac:dyDescent="0.3">
      <c r="A66" s="53" t="s">
        <v>16</v>
      </c>
      <c r="B66" s="54">
        <v>1</v>
      </c>
      <c r="C66" s="153" t="str">
        <f t="shared" si="5"/>
        <v>0h5min</v>
      </c>
      <c r="D66" s="174" t="s">
        <v>120</v>
      </c>
      <c r="E66" s="231"/>
      <c r="F66" s="232"/>
      <c r="G66" s="51"/>
    </row>
    <row r="67" spans="1:7" s="52" customFormat="1" ht="27" x14ac:dyDescent="0.3">
      <c r="A67" s="53" t="s">
        <v>48</v>
      </c>
      <c r="B67" s="54">
        <v>9</v>
      </c>
      <c r="C67" s="153" t="str">
        <f t="shared" si="5"/>
        <v>0h45min</v>
      </c>
      <c r="D67" s="174" t="s">
        <v>143</v>
      </c>
      <c r="E67" s="231"/>
      <c r="F67" s="232"/>
      <c r="G67" s="51"/>
    </row>
    <row r="68" spans="1:7" s="52" customFormat="1" x14ac:dyDescent="0.3">
      <c r="A68" s="54" t="s">
        <v>117</v>
      </c>
      <c r="B68" s="54">
        <v>3</v>
      </c>
      <c r="C68" s="154" t="str">
        <f t="shared" si="5"/>
        <v>0h15min</v>
      </c>
      <c r="D68" s="174" t="s">
        <v>144</v>
      </c>
      <c r="E68" s="231"/>
      <c r="F68" s="232"/>
      <c r="G68" s="51"/>
    </row>
    <row r="69" spans="1:7" s="52" customFormat="1" x14ac:dyDescent="0.3">
      <c r="A69" s="54" t="s">
        <v>117</v>
      </c>
      <c r="B69" s="54">
        <v>2</v>
      </c>
      <c r="C69" s="154" t="str">
        <f t="shared" si="5"/>
        <v>0h10min</v>
      </c>
      <c r="D69" s="174" t="s">
        <v>145</v>
      </c>
      <c r="E69" s="231"/>
      <c r="F69" s="232"/>
      <c r="G69" s="51"/>
    </row>
    <row r="70" spans="1:7" s="52" customFormat="1" ht="27" x14ac:dyDescent="0.3">
      <c r="A70" s="54" t="s">
        <v>16</v>
      </c>
      <c r="B70" s="54">
        <v>2</v>
      </c>
      <c r="C70" s="154" t="str">
        <f t="shared" si="5"/>
        <v>0h10min</v>
      </c>
      <c r="D70" s="174" t="s">
        <v>146</v>
      </c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62" t="s">
        <v>28</v>
      </c>
      <c r="B72" s="83">
        <f>SUM(B64:B71)</f>
        <v>28</v>
      </c>
      <c r="C72" s="162" t="str">
        <f xml:space="preserve"> setValueToTime(B72)</f>
        <v>2h20min</v>
      </c>
      <c r="D72" s="121"/>
      <c r="E72" s="237"/>
      <c r="F72" s="238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1</v>
      </c>
      <c r="C74" s="164"/>
      <c r="D74" s="157" t="s">
        <v>14</v>
      </c>
      <c r="E74" s="158">
        <v>45411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39</v>
      </c>
      <c r="C75" s="160"/>
      <c r="D75" s="78" t="s">
        <v>12</v>
      </c>
      <c r="E75" s="239" t="s">
        <v>13</v>
      </c>
      <c r="F75" s="240"/>
      <c r="G75" s="46"/>
    </row>
    <row r="76" spans="1:7" s="52" customFormat="1" ht="27" x14ac:dyDescent="0.3">
      <c r="A76" s="48" t="s">
        <v>40</v>
      </c>
      <c r="B76" s="49">
        <v>7</v>
      </c>
      <c r="C76" s="152" t="str">
        <f xml:space="preserve"> IF(B76="","",setValueToTime(B76))</f>
        <v>0h35min</v>
      </c>
      <c r="D76" s="50" t="s">
        <v>54</v>
      </c>
      <c r="E76" s="229"/>
      <c r="F76" s="230"/>
      <c r="G76" s="51"/>
    </row>
    <row r="77" spans="1:7" s="52" customFormat="1" x14ac:dyDescent="0.3">
      <c r="A77" s="53" t="s">
        <v>43</v>
      </c>
      <c r="B77" s="54">
        <v>3</v>
      </c>
      <c r="C77" s="153" t="str">
        <f t="shared" ref="C77:C83" si="6" xml:space="preserve"> IF(B77="","",setValueToTime(B77))</f>
        <v>0h15min</v>
      </c>
      <c r="D77" s="174" t="s">
        <v>115</v>
      </c>
      <c r="E77" s="231"/>
      <c r="F77" s="232"/>
      <c r="G77" s="51"/>
    </row>
    <row r="78" spans="1:7" s="52" customFormat="1" ht="54" x14ac:dyDescent="0.3">
      <c r="A78" s="53" t="s">
        <v>44</v>
      </c>
      <c r="B78" s="54">
        <v>2</v>
      </c>
      <c r="C78" s="153" t="str">
        <f t="shared" si="6"/>
        <v>0h10min</v>
      </c>
      <c r="D78" s="55" t="s">
        <v>55</v>
      </c>
      <c r="E78" s="231"/>
      <c r="F78" s="232"/>
      <c r="G78" s="51"/>
    </row>
    <row r="79" spans="1:7" s="52" customFormat="1" x14ac:dyDescent="0.3">
      <c r="A79" s="53" t="s">
        <v>15</v>
      </c>
      <c r="B79" s="54">
        <v>6</v>
      </c>
      <c r="C79" s="153" t="str">
        <f t="shared" si="6"/>
        <v>0h30min</v>
      </c>
      <c r="D79" s="55" t="s">
        <v>56</v>
      </c>
      <c r="E79" s="231"/>
      <c r="F79" s="232"/>
      <c r="G79" s="51"/>
    </row>
    <row r="80" spans="1:7" s="52" customFormat="1" ht="27" x14ac:dyDescent="0.3">
      <c r="A80" s="54" t="s">
        <v>41</v>
      </c>
      <c r="B80" s="54">
        <v>2</v>
      </c>
      <c r="C80" s="154" t="str">
        <f t="shared" si="6"/>
        <v>0h10min</v>
      </c>
      <c r="D80" s="55" t="s">
        <v>57</v>
      </c>
      <c r="E80" s="231"/>
      <c r="F80" s="232"/>
      <c r="G80" s="51"/>
    </row>
    <row r="81" spans="1:7" s="52" customFormat="1" ht="40.5" x14ac:dyDescent="0.3">
      <c r="A81" s="54" t="s">
        <v>45</v>
      </c>
      <c r="B81" s="54">
        <v>2</v>
      </c>
      <c r="C81" s="154" t="str">
        <f t="shared" si="6"/>
        <v>0h10min</v>
      </c>
      <c r="D81" s="55" t="s">
        <v>58</v>
      </c>
      <c r="E81" s="231"/>
      <c r="F81" s="232"/>
      <c r="G81" s="51"/>
    </row>
    <row r="82" spans="1:7" s="52" customFormat="1" ht="40.5" x14ac:dyDescent="0.3">
      <c r="A82" s="54" t="s">
        <v>46</v>
      </c>
      <c r="B82" s="54">
        <v>4</v>
      </c>
      <c r="C82" s="154" t="str">
        <f t="shared" si="6"/>
        <v>0h20min</v>
      </c>
      <c r="D82" s="55" t="s">
        <v>59</v>
      </c>
      <c r="E82" s="231"/>
      <c r="F82" s="232"/>
      <c r="G82" s="51"/>
    </row>
    <row r="83" spans="1:7" s="52" customFormat="1" ht="27.75" thickBot="1" x14ac:dyDescent="0.35">
      <c r="A83" s="56" t="s">
        <v>47</v>
      </c>
      <c r="B83" s="56">
        <v>22</v>
      </c>
      <c r="C83" s="155" t="str">
        <f t="shared" si="6"/>
        <v>1h50min</v>
      </c>
      <c r="D83" s="57" t="s">
        <v>60</v>
      </c>
      <c r="E83" s="235"/>
      <c r="F83" s="236"/>
      <c r="G83" s="51"/>
    </row>
    <row r="84" spans="1:7" s="52" customFormat="1" ht="15" thickBot="1" x14ac:dyDescent="0.35">
      <c r="A84" s="162" t="s">
        <v>28</v>
      </c>
      <c r="B84" s="83">
        <f>SUM(B76:B83)</f>
        <v>48</v>
      </c>
      <c r="C84" s="162" t="str">
        <f xml:space="preserve"> setValueToTime(B84)</f>
        <v>4h</v>
      </c>
      <c r="D84" s="121"/>
      <c r="E84" s="237"/>
      <c r="F84" s="238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75:F75"/>
    <mergeCell ref="E76:F76"/>
    <mergeCell ref="E77:F77"/>
    <mergeCell ref="E78:F78"/>
    <mergeCell ref="E79:F79"/>
    <mergeCell ref="E80:F80"/>
    <mergeCell ref="E69:F69"/>
    <mergeCell ref="E70:F70"/>
    <mergeCell ref="E71:F71"/>
    <mergeCell ref="E72:F72"/>
    <mergeCell ref="E81:F81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 xr:uid="{2A76FA21-66A6-48FF-AE38-0274DE4802E1}">
      <formula1>0</formula1>
      <formula2>60</formula2>
    </dataValidation>
    <dataValidation type="list" allowBlank="1" showInputMessage="1" showErrorMessage="1" sqref="A76:A83 A64:A71 A52:A59 A40:A47 A28:A35 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  <c r="BD10" s="195"/>
      <c r="BE10" s="195"/>
      <c r="BF10" s="195"/>
      <c r="BG10" s="195"/>
      <c r="BH10" s="195"/>
      <c r="BI10" s="90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90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90"/>
    </row>
    <row r="13" spans="1:61" ht="18.75" thickBot="1" x14ac:dyDescent="0.3">
      <c r="A13" s="198" t="s">
        <v>11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200"/>
      <c r="BI13" s="90"/>
    </row>
    <row r="14" spans="1:61" ht="15.75" thickBot="1" x14ac:dyDescent="0.35">
      <c r="A14" s="103"/>
      <c r="B14" s="104"/>
      <c r="C14" s="104"/>
      <c r="D14" s="104"/>
      <c r="E14" s="201" t="s">
        <v>33</v>
      </c>
      <c r="F14" s="201"/>
      <c r="G14" s="201"/>
      <c r="H14" s="201"/>
      <c r="I14" s="104"/>
      <c r="J14" s="104"/>
      <c r="K14" s="202" t="s">
        <v>23</v>
      </c>
      <c r="L14" s="202"/>
      <c r="M14" s="202"/>
      <c r="N14" s="202"/>
      <c r="O14" s="129"/>
      <c r="P14" s="129"/>
      <c r="Q14" s="201" t="s">
        <v>34</v>
      </c>
      <c r="R14" s="201"/>
      <c r="S14" s="201"/>
      <c r="T14" s="201"/>
      <c r="U14" s="104"/>
      <c r="V14" s="104"/>
      <c r="W14" s="202" t="s">
        <v>24</v>
      </c>
      <c r="X14" s="202"/>
      <c r="Y14" s="202"/>
      <c r="Z14" s="202"/>
      <c r="AA14" s="129"/>
      <c r="AB14" s="129"/>
      <c r="AC14" s="201" t="s">
        <v>35</v>
      </c>
      <c r="AD14" s="201"/>
      <c r="AE14" s="201"/>
      <c r="AF14" s="201"/>
      <c r="AG14" s="104"/>
      <c r="AH14" s="104"/>
      <c r="AI14" s="202" t="s">
        <v>25</v>
      </c>
      <c r="AJ14" s="202"/>
      <c r="AK14" s="202"/>
      <c r="AL14" s="202"/>
      <c r="AM14" s="129"/>
      <c r="AN14" s="129"/>
      <c r="AO14" s="201" t="s">
        <v>36</v>
      </c>
      <c r="AP14" s="201"/>
      <c r="AQ14" s="201"/>
      <c r="AR14" s="201"/>
      <c r="AS14" s="104"/>
      <c r="AT14" s="104"/>
      <c r="AU14" s="202" t="s">
        <v>26</v>
      </c>
      <c r="AV14" s="202"/>
      <c r="AW14" s="202"/>
      <c r="AX14" s="202"/>
      <c r="AY14" s="129"/>
      <c r="AZ14" s="129"/>
      <c r="BA14" s="201" t="s">
        <v>37</v>
      </c>
      <c r="BB14" s="201"/>
      <c r="BC14" s="201"/>
      <c r="BD14" s="20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27" t="s">
        <v>13</v>
      </c>
      <c r="F2" s="22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3"/>
      <c r="F11" s="23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9" t="s">
        <v>13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7"/>
      <c r="F11" s="23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2024-05-01T14:31:57Z</cp:lastPrinted>
  <dcterms:created xsi:type="dcterms:W3CDTF">1996-10-21T11:03:58Z</dcterms:created>
  <dcterms:modified xsi:type="dcterms:W3CDTF">2024-05-03T14:30:52Z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